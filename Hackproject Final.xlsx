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575977B3-6F49-45CF-8130-9123F6A5B24E}" xr6:coauthVersionLast="47" xr6:coauthVersionMax="47" xr10:uidLastSave="{00000000-0000-0000-0000-000000000000}"/>
  <bookViews>
    <workbookView xWindow="20" yWindow="20" windowWidth="19180" windowHeight="10060" xr2:uid="{00000000-000D-0000-FFFF-FFFF00000000}"/>
  </bookViews>
  <sheets>
    <sheet name="Raw Data Cleaned" sheetId="2" r:id="rId1"/>
    <sheet name="Raw dataset" sheetId="1" r:id="rId2"/>
    <sheet name="PIVOT " sheetId="3" r:id="rId3"/>
    <sheet name="EXECUTIVE DASHBOARD" sheetId="5" r:id="rId4"/>
    <sheet name="RISK ASSESSMENT MATRIX" sheetId="7" r:id="rId5"/>
    <sheet name="RECOMMENDATION" sheetId="6" r:id="rId6"/>
  </sheets>
  <definedNames>
    <definedName name="ExternalData_1" localSheetId="0" hidden="1">'Raw Data Cleaned'!$A$1:$T$10</definedName>
    <definedName name="Slicer_Country">#N/A</definedName>
  </definedNames>
  <calcPr calcId="191028"/>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188EAB-E629-4267-BD1B-48F5C82CC007}" keepAlive="1" name="Query - Raw Data Cleaned" description="Connection to the 'Raw Data Cleaned' query in the workbook." type="5" refreshedVersion="8" background="1" saveData="1">
    <dbPr connection="Provider=Microsoft.Mashup.OleDb.1;Data Source=$Workbook$;Location=&quot;Raw Data Cleaned&quot;;Extended Properties=&quot;&quot;" command="SELECT * FROM [Raw Data Cleaned]"/>
  </connection>
</connections>
</file>

<file path=xl/sharedStrings.xml><?xml version="1.0" encoding="utf-8"?>
<sst xmlns="http://schemas.openxmlformats.org/spreadsheetml/2006/main" count="141" uniqueCount="57">
  <si>
    <t>Country</t>
  </si>
  <si>
    <t>UnderweightChildren</t>
  </si>
  <si>
    <t>UndernourishedPopulation</t>
  </si>
  <si>
    <t>Under5Mortality</t>
  </si>
  <si>
    <t>InfantMortality</t>
  </si>
  <si>
    <t>MaternalMortality</t>
  </si>
  <si>
    <t>CrudeDeathRatio</t>
  </si>
  <si>
    <t>LifeExpMale</t>
  </si>
  <si>
    <t>LifeExpFemale</t>
  </si>
  <si>
    <t>TBPrevalence</t>
  </si>
  <si>
    <t>MalariaPrevalence</t>
  </si>
  <si>
    <t>HIVPrevalence</t>
  </si>
  <si>
    <t>PhysicianDensity</t>
  </si>
  <si>
    <t>NurseMidwifeDensity</t>
  </si>
  <si>
    <t>PharmaDensity</t>
  </si>
  <si>
    <t>DPTCoverage</t>
  </si>
  <si>
    <t>HealthExpenditureUSDm</t>
  </si>
  <si>
    <t>HIVAIDSDeaths</t>
  </si>
  <si>
    <t>Brunei</t>
  </si>
  <si>
    <t>Cambodia</t>
  </si>
  <si>
    <t>Indonesia</t>
  </si>
  <si>
    <t>Lao PDR</t>
  </si>
  <si>
    <t>Malaysia</t>
  </si>
  <si>
    <t>Myanmar</t>
  </si>
  <si>
    <t>Philippines</t>
  </si>
  <si>
    <t>Singapore</t>
  </si>
  <si>
    <t>Thailand</t>
  </si>
  <si>
    <t>Vietnam</t>
  </si>
  <si>
    <t>Lao Pdr</t>
  </si>
  <si>
    <t>Grand Total</t>
  </si>
  <si>
    <t>COUNTRY  HEALTH SUMMARY</t>
  </si>
  <si>
    <t>ASEAN LIFE EXPECTANCY COMPARISON</t>
  </si>
  <si>
    <t>Sum of TBPrevalence</t>
  </si>
  <si>
    <t>Sum of MalariaPrevalence</t>
  </si>
  <si>
    <t>Average of TBPrevalence</t>
  </si>
  <si>
    <t>Average of HIVPrevalence</t>
  </si>
  <si>
    <t>ASEAN DISEASE BURDEN</t>
  </si>
  <si>
    <t>HEALTHCARE  WORKFORCE</t>
  </si>
  <si>
    <t>Sum of HealthExpenditureUSDm</t>
  </si>
  <si>
    <t>Average of LifeExpFemale</t>
  </si>
  <si>
    <t>Average of LifeExpMale</t>
  </si>
  <si>
    <t>Average of NurseMidwifeDensity</t>
  </si>
  <si>
    <t>Average of PharmaDensity</t>
  </si>
  <si>
    <t>Average of PhysicianDensity</t>
  </si>
  <si>
    <t>INVESTMENT   /HEALTH OUTCOMES</t>
  </si>
  <si>
    <t>KPIs</t>
  </si>
  <si>
    <t>Average of MaternalMortality</t>
  </si>
  <si>
    <t>Avg  MaternalMortality</t>
  </si>
  <si>
    <t>Average of DPTCoverage</t>
  </si>
  <si>
    <t>Avg  HealthExpenditureUSDm</t>
  </si>
  <si>
    <t>Life Expectancy</t>
  </si>
  <si>
    <t>Average  Life Expectancy</t>
  </si>
  <si>
    <t>Asean Risk Score</t>
  </si>
  <si>
    <t>Avg  Asean Risk Score</t>
  </si>
  <si>
    <t>Average of UnderweightChildren</t>
  </si>
  <si>
    <t>Average of Under5Mortality</t>
  </si>
  <si>
    <t>Average of InfantMortality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</si>
</sst>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1"/>
      <name val="Calibri"/>
      <family val="2"/>
      <scheme val="minor"/>
    </font>
    <font>
      <b/>
      <sz val="12"/>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2" fillId="0" borderId="0" xfId="0" pivotButton="1" applyFont="1"/>
    <xf numFmtId="0" fontId="2" fillId="0" borderId="0" xfId="0" applyFont="1" applyAlignment="1">
      <alignment horizontal="left"/>
    </xf>
    <xf numFmtId="2" fontId="2" fillId="0" borderId="0" xfId="0" applyNumberFormat="1" applyFont="1"/>
    <xf numFmtId="0" fontId="3" fillId="0" borderId="0" xfId="0" applyFont="1"/>
    <xf numFmtId="0" fontId="0" fillId="0" borderId="0" xfId="0" applyAlignment="1">
      <alignment horizontal="center"/>
    </xf>
    <xf numFmtId="0" fontId="0" fillId="0" borderId="0" xfId="0" applyNumberFormat="1"/>
  </cellXfs>
  <cellStyles count="1">
    <cellStyle name="Normal" xfId="0" builtinId="0"/>
  </cellStyles>
  <dxfs count="42">
    <dxf>
      <numFmt numFmtId="164" formatCode="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
    </dxf>
    <dxf>
      <numFmt numFmtId="2" formatCode="0.00"/>
    </dxf>
    <dxf>
      <numFmt numFmtId="2" formatCode="0.00"/>
    </dxf>
    <dxf>
      <numFmt numFmtId="2" formatCode="0.00"/>
    </dxf>
    <dxf>
      <numFmt numFmtId="2" formatCode="0.00"/>
    </dxf>
    <dxf>
      <font>
        <b/>
      </font>
    </dxf>
    <dxf>
      <font>
        <sz val="12"/>
      </font>
    </dxf>
    <dxf>
      <font>
        <b/>
      </font>
    </dxf>
    <dxf>
      <font>
        <sz val="12"/>
      </font>
    </dxf>
    <dxf>
      <font>
        <b/>
      </font>
    </dxf>
    <dxf>
      <font>
        <sz val="12"/>
      </font>
    </dxf>
    <dxf>
      <font>
        <b/>
      </font>
    </dxf>
    <dxf>
      <font>
        <sz val="12"/>
      </font>
    </dxf>
    <dxf>
      <font>
        <color auto="1"/>
      </font>
    </dxf>
    <dxf>
      <font>
        <color auto="1"/>
      </font>
    </dxf>
    <dxf>
      <font>
        <color auto="1"/>
      </font>
    </dxf>
    <dxf>
      <font>
        <color auto="1"/>
      </font>
    </dxf>
    <dxf>
      <numFmt numFmtId="2" formatCode="0.00"/>
    </dxf>
    <dxf>
      <numFmt numFmtId="2" formatCode="0.00"/>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[Hakproject As.xlsx]PIVOT !PivotTable3</c:name>
    <c:fmtId val="7"/>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96905102595549"/>
          <c:y val="0.14699109330361487"/>
          <c:w val="0.89019685039370078"/>
          <c:h val="0.54303696412948377"/>
        </c:manualLayout>
      </c:layout>
      <c:barChart>
        <c:barDir val="col"/>
        <c:grouping val="clustered"/>
        <c:varyColors val="0"/>
        <c:ser>
          <c:idx val="0"/>
          <c:order val="0"/>
          <c:tx>
            <c:strRef>
              <c:f>'PIVOT '!$B$5</c:f>
              <c:strCache>
                <c:ptCount val="1"/>
                <c:pt idx="0">
                  <c:v>Average of MaternalMortality</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'!$A$6:$A$15</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'!$B$6:$B$15</c:f>
              <c:numCache>
                <c:formatCode>0.00</c:formatCode>
                <c:ptCount val="9"/>
                <c:pt idx="0">
                  <c:v>27</c:v>
                </c:pt>
                <c:pt idx="1">
                  <c:v>170</c:v>
                </c:pt>
                <c:pt idx="2">
                  <c:v>190</c:v>
                </c:pt>
                <c:pt idx="3">
                  <c:v>220</c:v>
                </c:pt>
                <c:pt idx="4">
                  <c:v>29</c:v>
                </c:pt>
                <c:pt idx="5">
                  <c:v>200</c:v>
                </c:pt>
                <c:pt idx="6">
                  <c:v>120</c:v>
                </c:pt>
                <c:pt idx="7">
                  <c:v>26</c:v>
                </c:pt>
                <c:pt idx="8">
                  <c:v>49</c:v>
                </c:pt>
              </c:numCache>
            </c:numRef>
          </c:val>
          <c:extLst>
            <c:ext xmlns:c16="http://schemas.microsoft.com/office/drawing/2014/chart" uri="{C3380CC4-5D6E-409C-BE32-E72D297353CC}">
              <c16:uniqueId val="{00000000-BFC6-41D9-ABFC-EE7711542BB9}"/>
            </c:ext>
          </c:extLst>
        </c:ser>
        <c:ser>
          <c:idx val="1"/>
          <c:order val="1"/>
          <c:tx>
            <c:strRef>
              <c:f>'PIVOT '!$C$5</c:f>
              <c:strCache>
                <c:ptCount val="1"/>
                <c:pt idx="0">
                  <c:v>Average of LifeExpMale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'!$A$6:$A$15</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'!$C$6:$C$15</c:f>
              <c:numCache>
                <c:formatCode>0.00</c:formatCode>
                <c:ptCount val="9"/>
                <c:pt idx="0">
                  <c:v>75.900000000000006</c:v>
                </c:pt>
                <c:pt idx="1">
                  <c:v>63.4</c:v>
                </c:pt>
                <c:pt idx="2">
                  <c:v>67.7</c:v>
                </c:pt>
                <c:pt idx="3">
                  <c:v>66.5</c:v>
                </c:pt>
                <c:pt idx="4">
                  <c:v>72.7</c:v>
                </c:pt>
                <c:pt idx="5">
                  <c:v>67.5</c:v>
                </c:pt>
                <c:pt idx="6">
                  <c:v>65.400000000000006</c:v>
                </c:pt>
                <c:pt idx="7">
                  <c:v>71.099999999999994</c:v>
                </c:pt>
                <c:pt idx="8">
                  <c:v>70.599999999999994</c:v>
                </c:pt>
              </c:numCache>
            </c:numRef>
          </c:val>
          <c:extLst>
            <c:ext xmlns:c16="http://schemas.microsoft.com/office/drawing/2014/chart" uri="{C3380CC4-5D6E-409C-BE32-E72D297353CC}">
              <c16:uniqueId val="{00000001-BFC6-41D9-ABFC-EE7711542BB9}"/>
            </c:ext>
          </c:extLst>
        </c:ser>
        <c:ser>
          <c:idx val="2"/>
          <c:order val="2"/>
          <c:tx>
            <c:strRef>
              <c:f>'PIVOT '!$D$5</c:f>
              <c:strCache>
                <c:ptCount val="1"/>
                <c:pt idx="0">
                  <c:v>Average of LifeExpFemale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'!$A$6:$A$15</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'!$D$6:$D$15</c:f>
              <c:numCache>
                <c:formatCode>0.00</c:formatCode>
                <c:ptCount val="9"/>
                <c:pt idx="0">
                  <c:v>78.8</c:v>
                </c:pt>
                <c:pt idx="1">
                  <c:v>69.8</c:v>
                </c:pt>
                <c:pt idx="2">
                  <c:v>71.099999999999994</c:v>
                </c:pt>
                <c:pt idx="3">
                  <c:v>68.900000000000006</c:v>
                </c:pt>
                <c:pt idx="4">
                  <c:v>77.400000000000006</c:v>
                </c:pt>
                <c:pt idx="5">
                  <c:v>69.900000000000006</c:v>
                </c:pt>
                <c:pt idx="6">
                  <c:v>72.2</c:v>
                </c:pt>
                <c:pt idx="7">
                  <c:v>77.8</c:v>
                </c:pt>
                <c:pt idx="8">
                  <c:v>76</c:v>
                </c:pt>
              </c:numCache>
            </c:numRef>
          </c:val>
          <c:extLst>
            <c:ext xmlns:c16="http://schemas.microsoft.com/office/drawing/2014/chart" uri="{C3380CC4-5D6E-409C-BE32-E72D297353CC}">
              <c16:uniqueId val="{00000002-BFC6-41D9-ABFC-EE7711542BB9}"/>
            </c:ext>
          </c:extLst>
        </c:ser>
        <c:dLbls>
          <c:showLegendKey val="0"/>
          <c:showVal val="0"/>
          <c:showCatName val="0"/>
          <c:showSerName val="0"/>
          <c:showPercent val="0"/>
          <c:showBubbleSize val="0"/>
        </c:dLbls>
        <c:gapWidth val="100"/>
        <c:overlap val="-24"/>
        <c:axId val="332141007"/>
        <c:axId val="947980143"/>
      </c:barChart>
      <c:catAx>
        <c:axId val="3321410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947980143"/>
        <c:crosses val="autoZero"/>
        <c:auto val="1"/>
        <c:lblAlgn val="ctr"/>
        <c:lblOffset val="100"/>
        <c:noMultiLvlLbl val="0"/>
      </c:catAx>
      <c:valAx>
        <c:axId val="9479801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3214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[Hakproject As.xlsx]PIVOT !PivotTable4</c:name>
    <c:fmtId val="25"/>
  </c:pivotSource>
  <c:chart>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02240446640506"/>
          <c:y val="2.5145804645003923E-2"/>
          <c:w val="0.72512961696024525"/>
          <c:h val="0.85771582023859927"/>
        </c:manualLayout>
      </c:layout>
      <c:barChart>
        <c:barDir val="bar"/>
        <c:grouping val="stacked"/>
        <c:varyColors val="0"/>
        <c:ser>
          <c:idx val="0"/>
          <c:order val="0"/>
          <c:tx>
            <c:strRef>
              <c:f>'PIVOT '!$B$24</c:f>
              <c:strCache>
                <c:ptCount val="1"/>
                <c:pt idx="0">
                  <c:v>Sum of TBPrevalence</c:v>
                </c:pt>
              </c:strCache>
            </c:strRef>
          </c:tx>
          <c:spPr>
            <a:solidFill>
              <a:srgbClr val="FF0000"/>
            </a:solidFill>
            <a:ln>
              <a:noFill/>
            </a:ln>
            <a:effectLst/>
          </c:spPr>
          <c:invertIfNegative val="0"/>
          <c:cat>
            <c:strRef>
              <c:f>'PIVOT '!$A$25:$A$34</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'!$B$25:$B$34</c:f>
              <c:numCache>
                <c:formatCode>0.00</c:formatCode>
                <c:ptCount val="9"/>
                <c:pt idx="0">
                  <c:v>311</c:v>
                </c:pt>
                <c:pt idx="1">
                  <c:v>764</c:v>
                </c:pt>
                <c:pt idx="2">
                  <c:v>297</c:v>
                </c:pt>
                <c:pt idx="3">
                  <c:v>514</c:v>
                </c:pt>
                <c:pt idx="4">
                  <c:v>101</c:v>
                </c:pt>
                <c:pt idx="5">
                  <c:v>457</c:v>
                </c:pt>
                <c:pt idx="6">
                  <c:v>461</c:v>
                </c:pt>
                <c:pt idx="7">
                  <c:v>159</c:v>
                </c:pt>
                <c:pt idx="8">
                  <c:v>218</c:v>
                </c:pt>
              </c:numCache>
            </c:numRef>
          </c:val>
          <c:extLst>
            <c:ext xmlns:c16="http://schemas.microsoft.com/office/drawing/2014/chart" uri="{C3380CC4-5D6E-409C-BE32-E72D297353CC}">
              <c16:uniqueId val="{00000000-E131-4EB2-BFBD-61F1A0A0AC45}"/>
            </c:ext>
          </c:extLst>
        </c:ser>
        <c:ser>
          <c:idx val="1"/>
          <c:order val="1"/>
          <c:tx>
            <c:strRef>
              <c:f>'PIVOT '!$C$24</c:f>
              <c:strCache>
                <c:ptCount val="1"/>
                <c:pt idx="0">
                  <c:v>Sum of MalariaPrevalence</c:v>
                </c:pt>
              </c:strCache>
            </c:strRef>
          </c:tx>
          <c:spPr>
            <a:solidFill>
              <a:schemeClr val="accent2"/>
            </a:solidFill>
            <a:ln>
              <a:noFill/>
            </a:ln>
            <a:effectLst/>
          </c:spPr>
          <c:invertIfNegative val="0"/>
          <c:cat>
            <c:strRef>
              <c:f>'PIVOT '!$A$25:$A$34</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'!$C$25:$C$34</c:f>
              <c:numCache>
                <c:formatCode>0.00</c:formatCode>
                <c:ptCount val="9"/>
                <c:pt idx="1">
                  <c:v>407</c:v>
                </c:pt>
                <c:pt idx="2">
                  <c:v>39.799999999999997</c:v>
                </c:pt>
                <c:pt idx="4">
                  <c:v>23.5</c:v>
                </c:pt>
                <c:pt idx="5">
                  <c:v>4.0999999999999996</c:v>
                </c:pt>
                <c:pt idx="6">
                  <c:v>9.8000000000000007</c:v>
                </c:pt>
                <c:pt idx="7">
                  <c:v>33</c:v>
                </c:pt>
                <c:pt idx="8">
                  <c:v>51.6</c:v>
                </c:pt>
              </c:numCache>
            </c:numRef>
          </c:val>
          <c:extLst>
            <c:ext xmlns:c16="http://schemas.microsoft.com/office/drawing/2014/chart" uri="{C3380CC4-5D6E-409C-BE32-E72D297353CC}">
              <c16:uniqueId val="{00000001-E131-4EB2-BFBD-61F1A0A0AC45}"/>
            </c:ext>
          </c:extLst>
        </c:ser>
        <c:ser>
          <c:idx val="2"/>
          <c:order val="2"/>
          <c:tx>
            <c:strRef>
              <c:f>'PIVOT '!$D$24</c:f>
              <c:strCache>
                <c:ptCount val="1"/>
                <c:pt idx="0">
                  <c:v>Average of HIVPrevalence</c:v>
                </c:pt>
              </c:strCache>
            </c:strRef>
          </c:tx>
          <c:spPr>
            <a:solidFill>
              <a:schemeClr val="accent3"/>
            </a:solidFill>
            <a:ln>
              <a:noFill/>
            </a:ln>
            <a:effectLst/>
          </c:spPr>
          <c:invertIfNegative val="0"/>
          <c:cat>
            <c:strRef>
              <c:f>'PIVOT '!$A$25:$A$34</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'!$D$25:$D$34</c:f>
              <c:numCache>
                <c:formatCode>0.00</c:formatCode>
                <c:ptCount val="9"/>
                <c:pt idx="1">
                  <c:v>0.6</c:v>
                </c:pt>
                <c:pt idx="2">
                  <c:v>0.4</c:v>
                </c:pt>
                <c:pt idx="3">
                  <c:v>0.3</c:v>
                </c:pt>
                <c:pt idx="4">
                  <c:v>0.4</c:v>
                </c:pt>
                <c:pt idx="5">
                  <c:v>0.8</c:v>
                </c:pt>
                <c:pt idx="6">
                  <c:v>0.1</c:v>
                </c:pt>
                <c:pt idx="7">
                  <c:v>1.1000000000000001</c:v>
                </c:pt>
                <c:pt idx="8">
                  <c:v>0.4</c:v>
                </c:pt>
              </c:numCache>
            </c:numRef>
          </c:val>
          <c:extLst>
            <c:ext xmlns:c16="http://schemas.microsoft.com/office/drawing/2014/chart" uri="{C3380CC4-5D6E-409C-BE32-E72D297353CC}">
              <c16:uniqueId val="{00000002-E131-4EB2-BFBD-61F1A0A0AC45}"/>
            </c:ext>
          </c:extLst>
        </c:ser>
        <c:dLbls>
          <c:showLegendKey val="0"/>
          <c:showVal val="0"/>
          <c:showCatName val="0"/>
          <c:showSerName val="0"/>
          <c:showPercent val="0"/>
          <c:showBubbleSize val="0"/>
        </c:dLbls>
        <c:gapWidth val="150"/>
        <c:overlap val="100"/>
        <c:axId val="331857871"/>
        <c:axId val="947962383"/>
      </c:barChart>
      <c:catAx>
        <c:axId val="331857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947962383"/>
        <c:crosses val="autoZero"/>
        <c:auto val="0"/>
        <c:lblAlgn val="ctr"/>
        <c:lblOffset val="100"/>
        <c:noMultiLvlLbl val="0"/>
      </c:catAx>
      <c:valAx>
        <c:axId val="947962383"/>
        <c:scaling>
          <c:orientation val="minMax"/>
        </c:scaling>
        <c:delete val="0"/>
        <c:axPos val="b"/>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318578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[Hakproject As.xlsx]PIVOT !PivotTable6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862967636991188E-2"/>
          <c:y val="2.363910591831862E-2"/>
          <c:w val="0.81536203421054299"/>
          <c:h val="0.76574009227290696"/>
        </c:manualLayout>
      </c:layout>
      <c:barChart>
        <c:barDir val="col"/>
        <c:grouping val="clustered"/>
        <c:varyColors val="0"/>
        <c:ser>
          <c:idx val="0"/>
          <c:order val="0"/>
          <c:tx>
            <c:strRef>
              <c:f>'PIVOT '!$B$59</c:f>
              <c:strCache>
                <c:ptCount val="1"/>
                <c:pt idx="0">
                  <c:v>Sum of HealthExpenditureUSDm</c:v>
                </c:pt>
              </c:strCache>
            </c:strRef>
          </c:tx>
          <c:spPr>
            <a:solidFill>
              <a:srgbClr val="FF0000"/>
            </a:solidFill>
            <a:ln>
              <a:noFill/>
            </a:ln>
            <a:effectLst/>
          </c:spPr>
          <c:invertIfNegative val="0"/>
          <c:cat>
            <c:strRef>
              <c:f>'PIVOT '!$A$60:$A$69</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'!$B$60:$B$69</c:f>
              <c:numCache>
                <c:formatCode>General</c:formatCode>
                <c:ptCount val="9"/>
                <c:pt idx="0">
                  <c:v>18.899999999999999</c:v>
                </c:pt>
                <c:pt idx="1">
                  <c:v>21.1</c:v>
                </c:pt>
                <c:pt idx="2">
                  <c:v>1737.2</c:v>
                </c:pt>
                <c:pt idx="3">
                  <c:v>25.2</c:v>
                </c:pt>
                <c:pt idx="4">
                  <c:v>367.2</c:v>
                </c:pt>
                <c:pt idx="5">
                  <c:v>297.5</c:v>
                </c:pt>
                <c:pt idx="6">
                  <c:v>299.3</c:v>
                </c:pt>
                <c:pt idx="7">
                  <c:v>476.8</c:v>
                </c:pt>
                <c:pt idx="8">
                  <c:v>914.5</c:v>
                </c:pt>
              </c:numCache>
            </c:numRef>
          </c:val>
          <c:extLst>
            <c:ext xmlns:c16="http://schemas.microsoft.com/office/drawing/2014/chart" uri="{C3380CC4-5D6E-409C-BE32-E72D297353CC}">
              <c16:uniqueId val="{00000000-DC2E-483B-8E9E-4A8DDC12F3A7}"/>
            </c:ext>
          </c:extLst>
        </c:ser>
        <c:dLbls>
          <c:showLegendKey val="0"/>
          <c:showVal val="0"/>
          <c:showCatName val="0"/>
          <c:showSerName val="0"/>
          <c:showPercent val="0"/>
          <c:showBubbleSize val="0"/>
        </c:dLbls>
        <c:gapWidth val="150"/>
        <c:axId val="332156319"/>
        <c:axId val="947996943"/>
      </c:barChart>
      <c:lineChart>
        <c:grouping val="standard"/>
        <c:varyColors val="0"/>
        <c:ser>
          <c:idx val="1"/>
          <c:order val="1"/>
          <c:tx>
            <c:strRef>
              <c:f>'PIVOT '!$C$59</c:f>
              <c:strCache>
                <c:ptCount val="1"/>
                <c:pt idx="0">
                  <c:v>Average of LifeExpFemale</c:v>
                </c:pt>
              </c:strCache>
            </c:strRef>
          </c:tx>
          <c:spPr>
            <a:ln w="28575" cap="rnd">
              <a:solidFill>
                <a:schemeClr val="accent2"/>
              </a:solidFill>
              <a:round/>
            </a:ln>
            <a:effectLst/>
          </c:spPr>
          <c:marker>
            <c:symbol val="none"/>
          </c:marker>
          <c:cat>
            <c:strRef>
              <c:f>'PIVOT '!$A$60:$A$69</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'!$C$60:$C$69</c:f>
              <c:numCache>
                <c:formatCode>0.00</c:formatCode>
                <c:ptCount val="9"/>
                <c:pt idx="0">
                  <c:v>78.8</c:v>
                </c:pt>
                <c:pt idx="1">
                  <c:v>69.8</c:v>
                </c:pt>
                <c:pt idx="2">
                  <c:v>71.099999999999994</c:v>
                </c:pt>
                <c:pt idx="3">
                  <c:v>68.900000000000006</c:v>
                </c:pt>
                <c:pt idx="4">
                  <c:v>77.400000000000006</c:v>
                </c:pt>
                <c:pt idx="5">
                  <c:v>69.900000000000006</c:v>
                </c:pt>
                <c:pt idx="6">
                  <c:v>72.2</c:v>
                </c:pt>
                <c:pt idx="7">
                  <c:v>77.8</c:v>
                </c:pt>
                <c:pt idx="8">
                  <c:v>76</c:v>
                </c:pt>
              </c:numCache>
            </c:numRef>
          </c:val>
          <c:smooth val="0"/>
          <c:extLst>
            <c:ext xmlns:c16="http://schemas.microsoft.com/office/drawing/2014/chart" uri="{C3380CC4-5D6E-409C-BE32-E72D297353CC}">
              <c16:uniqueId val="{00000001-DC2E-483B-8E9E-4A8DDC12F3A7}"/>
            </c:ext>
          </c:extLst>
        </c:ser>
        <c:dLbls>
          <c:showLegendKey val="0"/>
          <c:showVal val="0"/>
          <c:showCatName val="0"/>
          <c:showSerName val="0"/>
          <c:showPercent val="0"/>
          <c:showBubbleSize val="0"/>
        </c:dLbls>
        <c:marker val="1"/>
        <c:smooth val="0"/>
        <c:axId val="332158639"/>
        <c:axId val="947983503"/>
      </c:lineChart>
      <c:catAx>
        <c:axId val="33215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947996943"/>
        <c:crosses val="autoZero"/>
        <c:auto val="1"/>
        <c:lblAlgn val="ctr"/>
        <c:lblOffset val="100"/>
        <c:noMultiLvlLbl val="0"/>
      </c:catAx>
      <c:valAx>
        <c:axId val="9479969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32156319"/>
        <c:crosses val="autoZero"/>
        <c:crossBetween val="between"/>
      </c:valAx>
      <c:valAx>
        <c:axId val="94798350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332158639"/>
        <c:crosses val="max"/>
        <c:crossBetween val="between"/>
      </c:valAx>
      <c:catAx>
        <c:axId val="332158639"/>
        <c:scaling>
          <c:orientation val="minMax"/>
        </c:scaling>
        <c:delete val="1"/>
        <c:axPos val="b"/>
        <c:numFmt formatCode="General" sourceLinked="1"/>
        <c:majorTickMark val="none"/>
        <c:minorTickMark val="none"/>
        <c:tickLblPos val="nextTo"/>
        <c:crossAx val="947983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[Hakproject As.xlsx]PIVOT !PivotTable5</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53126653025796"/>
          <c:y val="2.9303933065425538E-3"/>
          <c:w val="0.67046516589993876"/>
          <c:h val="0.89407395560405845"/>
        </c:manualLayout>
      </c:layout>
      <c:barChart>
        <c:barDir val="bar"/>
        <c:grouping val="clustered"/>
        <c:varyColors val="0"/>
        <c:ser>
          <c:idx val="0"/>
          <c:order val="0"/>
          <c:tx>
            <c:strRef>
              <c:f>'PIVOT '!$B$41</c:f>
              <c:strCache>
                <c:ptCount val="1"/>
                <c:pt idx="0">
                  <c:v>Average of PhysicianDensity</c:v>
                </c:pt>
              </c:strCache>
            </c:strRef>
          </c:tx>
          <c:spPr>
            <a:solidFill>
              <a:schemeClr val="accent1"/>
            </a:solidFill>
            <a:ln>
              <a:noFill/>
            </a:ln>
            <a:effectLst/>
          </c:spPr>
          <c:invertIfNegative val="0"/>
          <c:cat>
            <c:strRef>
              <c:f>'PIVOT '!$A$42:$A$51</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'!$B$42:$B$51</c:f>
              <c:numCache>
                <c:formatCode>0.00</c:formatCode>
                <c:ptCount val="9"/>
                <c:pt idx="0">
                  <c:v>1.47</c:v>
                </c:pt>
                <c:pt idx="1">
                  <c:v>0.16800000000000001</c:v>
                </c:pt>
                <c:pt idx="2">
                  <c:v>0.20100000000000001</c:v>
                </c:pt>
                <c:pt idx="3">
                  <c:v>0.17899999999999999</c:v>
                </c:pt>
                <c:pt idx="4">
                  <c:v>1.2809999999999999</c:v>
                </c:pt>
                <c:pt idx="5">
                  <c:v>0.56799999999999995</c:v>
                </c:pt>
                <c:pt idx="6">
                  <c:v>1.1100000000000001</c:v>
                </c:pt>
                <c:pt idx="7">
                  <c:v>0.39400000000000002</c:v>
                </c:pt>
                <c:pt idx="8">
                  <c:v>1.18</c:v>
                </c:pt>
              </c:numCache>
            </c:numRef>
          </c:val>
          <c:extLst>
            <c:ext xmlns:c16="http://schemas.microsoft.com/office/drawing/2014/chart" uri="{C3380CC4-5D6E-409C-BE32-E72D297353CC}">
              <c16:uniqueId val="{00000000-8FBE-4ECF-BE8C-9B584FE57183}"/>
            </c:ext>
          </c:extLst>
        </c:ser>
        <c:ser>
          <c:idx val="1"/>
          <c:order val="1"/>
          <c:tx>
            <c:strRef>
              <c:f>'PIVOT '!$C$41</c:f>
              <c:strCache>
                <c:ptCount val="1"/>
                <c:pt idx="0">
                  <c:v>Average of NurseMidwifeDensity</c:v>
                </c:pt>
              </c:strCache>
            </c:strRef>
          </c:tx>
          <c:spPr>
            <a:solidFill>
              <a:schemeClr val="accent2"/>
            </a:solidFill>
            <a:ln>
              <a:noFill/>
            </a:ln>
            <a:effectLst/>
          </c:spPr>
          <c:invertIfNegative val="0"/>
          <c:cat>
            <c:strRef>
              <c:f>'PIVOT '!$A$42:$A$51</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'!$C$42:$C$51</c:f>
              <c:numCache>
                <c:formatCode>0.00</c:formatCode>
                <c:ptCount val="9"/>
                <c:pt idx="0">
                  <c:v>8.1950000000000003</c:v>
                </c:pt>
                <c:pt idx="1">
                  <c:v>0.95599999999999996</c:v>
                </c:pt>
                <c:pt idx="2">
                  <c:v>1.365</c:v>
                </c:pt>
                <c:pt idx="3">
                  <c:v>0.86199999999999999</c:v>
                </c:pt>
                <c:pt idx="4">
                  <c:v>3.3969999999999998</c:v>
                </c:pt>
                <c:pt idx="5">
                  <c:v>0.93</c:v>
                </c:pt>
                <c:pt idx="6">
                  <c:v>5.774</c:v>
                </c:pt>
                <c:pt idx="7">
                  <c:v>2.08</c:v>
                </c:pt>
                <c:pt idx="8">
                  <c:v>1.226</c:v>
                </c:pt>
              </c:numCache>
            </c:numRef>
          </c:val>
          <c:extLst>
            <c:ext xmlns:c16="http://schemas.microsoft.com/office/drawing/2014/chart" uri="{C3380CC4-5D6E-409C-BE32-E72D297353CC}">
              <c16:uniqueId val="{00000001-8FBE-4ECF-BE8C-9B584FE57183}"/>
            </c:ext>
          </c:extLst>
        </c:ser>
        <c:ser>
          <c:idx val="2"/>
          <c:order val="2"/>
          <c:tx>
            <c:strRef>
              <c:f>'PIVOT '!$D$41</c:f>
              <c:strCache>
                <c:ptCount val="1"/>
                <c:pt idx="0">
                  <c:v>Average of PharmaDensity</c:v>
                </c:pt>
              </c:strCache>
            </c:strRef>
          </c:tx>
          <c:spPr>
            <a:solidFill>
              <a:schemeClr val="accent3"/>
            </a:solidFill>
            <a:ln>
              <a:noFill/>
            </a:ln>
            <a:effectLst/>
          </c:spPr>
          <c:invertIfNegative val="0"/>
          <c:cat>
            <c:strRef>
              <c:f>'PIVOT '!$A$42:$A$51</c:f>
              <c:strCache>
                <c:ptCount val="9"/>
                <c:pt idx="0">
                  <c:v>Brunei</c:v>
                </c:pt>
                <c:pt idx="1">
                  <c:v>Cambodia</c:v>
                </c:pt>
                <c:pt idx="2">
                  <c:v>Indonesia</c:v>
                </c:pt>
                <c:pt idx="3">
                  <c:v>Lao Pdr</c:v>
                </c:pt>
                <c:pt idx="4">
                  <c:v>Malaysia</c:v>
                </c:pt>
                <c:pt idx="5">
                  <c:v>Myanmar</c:v>
                </c:pt>
                <c:pt idx="6">
                  <c:v>Philippines</c:v>
                </c:pt>
                <c:pt idx="7">
                  <c:v>Thailand</c:v>
                </c:pt>
                <c:pt idx="8">
                  <c:v>Vietnam</c:v>
                </c:pt>
              </c:strCache>
            </c:strRef>
          </c:cat>
          <c:val>
            <c:numRef>
              <c:f>'PIVOT '!$D$42:$D$51</c:f>
              <c:numCache>
                <c:formatCode>0.00</c:formatCode>
                <c:ptCount val="9"/>
                <c:pt idx="0">
                  <c:v>0.41199999999999998</c:v>
                </c:pt>
                <c:pt idx="1">
                  <c:v>0.04</c:v>
                </c:pt>
                <c:pt idx="2">
                  <c:v>0.10299999999999999</c:v>
                </c:pt>
                <c:pt idx="3">
                  <c:v>0.114</c:v>
                </c:pt>
                <c:pt idx="4">
                  <c:v>0.434</c:v>
                </c:pt>
                <c:pt idx="5">
                  <c:v>3.0000000000000001E-3</c:v>
                </c:pt>
                <c:pt idx="6">
                  <c:v>0.88900000000000001</c:v>
                </c:pt>
                <c:pt idx="7">
                  <c:v>0.13</c:v>
                </c:pt>
                <c:pt idx="8">
                  <c:v>0.31</c:v>
                </c:pt>
              </c:numCache>
            </c:numRef>
          </c:val>
          <c:extLst>
            <c:ext xmlns:c16="http://schemas.microsoft.com/office/drawing/2014/chart" uri="{C3380CC4-5D6E-409C-BE32-E72D297353CC}">
              <c16:uniqueId val="{00000002-8FBE-4ECF-BE8C-9B584FE57183}"/>
            </c:ext>
          </c:extLst>
        </c:ser>
        <c:dLbls>
          <c:showLegendKey val="0"/>
          <c:showVal val="0"/>
          <c:showCatName val="0"/>
          <c:showSerName val="0"/>
          <c:showPercent val="0"/>
          <c:showBubbleSize val="0"/>
        </c:dLbls>
        <c:gapWidth val="150"/>
        <c:axId val="332160031"/>
        <c:axId val="947974383"/>
      </c:barChart>
      <c:catAx>
        <c:axId val="332160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947974383"/>
        <c:crosses val="autoZero"/>
        <c:auto val="1"/>
        <c:lblAlgn val="ctr"/>
        <c:lblOffset val="100"/>
        <c:noMultiLvlLbl val="0"/>
      </c:catAx>
      <c:valAx>
        <c:axId val="947974383"/>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3321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386520</xdr:colOff>
      <xdr:row>10</xdr:row>
      <xdr:rowOff>27609</xdr:rowOff>
    </xdr:from>
    <xdr:to>
      <xdr:col>12</xdr:col>
      <xdr:colOff>41412</xdr:colOff>
      <xdr:row>26</xdr:row>
      <xdr:rowOff>13804</xdr:rowOff>
    </xdr:to>
    <xdr:sp macro="" textlink="">
      <xdr:nvSpPr>
        <xdr:cNvPr id="37" name="Rectangle 36">
          <a:extLst>
            <a:ext uri="{FF2B5EF4-FFF2-40B4-BE49-F238E27FC236}">
              <a16:creationId xmlns:a16="http://schemas.microsoft.com/office/drawing/2014/main" id="{80F6CED7-D680-D441-3DA8-65F220A7CDC2}"/>
            </a:ext>
          </a:extLst>
        </xdr:cNvPr>
        <xdr:cNvSpPr/>
      </xdr:nvSpPr>
      <xdr:spPr>
        <a:xfrm>
          <a:off x="1601303" y="1822174"/>
          <a:ext cx="5728805" cy="285750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483153</xdr:colOff>
      <xdr:row>9</xdr:row>
      <xdr:rowOff>13804</xdr:rowOff>
    </xdr:from>
    <xdr:to>
      <xdr:col>22</xdr:col>
      <xdr:colOff>55217</xdr:colOff>
      <xdr:row>29</xdr:row>
      <xdr:rowOff>82826</xdr:rowOff>
    </xdr:to>
    <xdr:sp macro="" textlink="">
      <xdr:nvSpPr>
        <xdr:cNvPr id="36" name="Rectangle 35">
          <a:extLst>
            <a:ext uri="{FF2B5EF4-FFF2-40B4-BE49-F238E27FC236}">
              <a16:creationId xmlns:a16="http://schemas.microsoft.com/office/drawing/2014/main" id="{1392206A-DC2A-5325-476D-14CA6971CD6E}"/>
            </a:ext>
          </a:extLst>
        </xdr:cNvPr>
        <xdr:cNvSpPr/>
      </xdr:nvSpPr>
      <xdr:spPr>
        <a:xfrm>
          <a:off x="7164457" y="1628913"/>
          <a:ext cx="6253369" cy="365815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31751</xdr:rowOff>
    </xdr:from>
    <xdr:to>
      <xdr:col>29</xdr:col>
      <xdr:colOff>115454</xdr:colOff>
      <xdr:row>76</xdr:row>
      <xdr:rowOff>79375</xdr:rowOff>
    </xdr:to>
    <xdr:sp macro="" textlink="">
      <xdr:nvSpPr>
        <xdr:cNvPr id="2" name="Rectangle 1">
          <a:extLst>
            <a:ext uri="{FF2B5EF4-FFF2-40B4-BE49-F238E27FC236}">
              <a16:creationId xmlns:a16="http://schemas.microsoft.com/office/drawing/2014/main" id="{C596C4D2-8365-E966-E883-851ED878E7C1}"/>
            </a:ext>
          </a:extLst>
        </xdr:cNvPr>
        <xdr:cNvSpPr/>
      </xdr:nvSpPr>
      <xdr:spPr>
        <a:xfrm>
          <a:off x="0" y="31751"/>
          <a:ext cx="17609704" cy="14525624"/>
        </a:xfrm>
        <a:prstGeom prst="rect">
          <a:avLst/>
        </a:prstGeom>
        <a:solidFill>
          <a:srgbClr val="00206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19050</xdr:colOff>
      <xdr:row>0</xdr:row>
      <xdr:rowOff>95250</xdr:rowOff>
    </xdr:from>
    <xdr:to>
      <xdr:col>2</xdr:col>
      <xdr:colOff>101600</xdr:colOff>
      <xdr:row>76</xdr:row>
      <xdr:rowOff>31750</xdr:rowOff>
    </xdr:to>
    <xdr:sp macro="" textlink="">
      <xdr:nvSpPr>
        <xdr:cNvPr id="4" name="Rectangle: Rounded Corners 3">
          <a:extLst>
            <a:ext uri="{FF2B5EF4-FFF2-40B4-BE49-F238E27FC236}">
              <a16:creationId xmlns:a16="http://schemas.microsoft.com/office/drawing/2014/main" id="{2ABBF116-46F9-5B93-3BBC-6CE56BC9D0CC}"/>
            </a:ext>
          </a:extLst>
        </xdr:cNvPr>
        <xdr:cNvSpPr/>
      </xdr:nvSpPr>
      <xdr:spPr>
        <a:xfrm>
          <a:off x="19050" y="95250"/>
          <a:ext cx="1289050" cy="144145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206023</xdr:colOff>
      <xdr:row>3</xdr:row>
      <xdr:rowOff>151881</xdr:rowOff>
    </xdr:from>
    <xdr:to>
      <xdr:col>12</xdr:col>
      <xdr:colOff>389467</xdr:colOff>
      <xdr:row>8</xdr:row>
      <xdr:rowOff>126999</xdr:rowOff>
    </xdr:to>
    <xdr:sp macro="" textlink="">
      <xdr:nvSpPr>
        <xdr:cNvPr id="6" name="Rectangle: Rounded Corners 5">
          <a:extLst>
            <a:ext uri="{FF2B5EF4-FFF2-40B4-BE49-F238E27FC236}">
              <a16:creationId xmlns:a16="http://schemas.microsoft.com/office/drawing/2014/main" id="{015FC466-AC59-4514-BACF-5F7796AF2E40}"/>
            </a:ext>
          </a:extLst>
        </xdr:cNvPr>
        <xdr:cNvSpPr/>
      </xdr:nvSpPr>
      <xdr:spPr>
        <a:xfrm>
          <a:off x="5692423" y="710681"/>
          <a:ext cx="2012244" cy="90645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Avg</a:t>
          </a:r>
          <a:r>
            <a:rPr lang="en-GB" sz="1200" baseline="0"/>
            <a:t> Maternal Morta</a:t>
          </a:r>
          <a:endParaRPr lang="en-GB" sz="1200"/>
        </a:p>
      </xdr:txBody>
    </xdr:sp>
    <xdr:clientData/>
  </xdr:twoCellAnchor>
  <xdr:twoCellAnchor>
    <xdr:from>
      <xdr:col>13</xdr:col>
      <xdr:colOff>112887</xdr:colOff>
      <xdr:row>3</xdr:row>
      <xdr:rowOff>123822</xdr:rowOff>
    </xdr:from>
    <xdr:to>
      <xdr:col>16</xdr:col>
      <xdr:colOff>279400</xdr:colOff>
      <xdr:row>8</xdr:row>
      <xdr:rowOff>160867</xdr:rowOff>
    </xdr:to>
    <xdr:sp macro="" textlink="">
      <xdr:nvSpPr>
        <xdr:cNvPr id="7" name="Rectangle: Rounded Corners 6">
          <a:extLst>
            <a:ext uri="{FF2B5EF4-FFF2-40B4-BE49-F238E27FC236}">
              <a16:creationId xmlns:a16="http://schemas.microsoft.com/office/drawing/2014/main" id="{B5ECD8C9-6CED-4967-B1A1-EB0FEAB812E8}"/>
            </a:ext>
          </a:extLst>
        </xdr:cNvPr>
        <xdr:cNvSpPr/>
      </xdr:nvSpPr>
      <xdr:spPr>
        <a:xfrm>
          <a:off x="8037687" y="682622"/>
          <a:ext cx="1995313" cy="96837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a:t>Avg DPT Coverage</a:t>
          </a:r>
        </a:p>
      </xdr:txBody>
    </xdr:sp>
    <xdr:clientData/>
  </xdr:twoCellAnchor>
  <xdr:twoCellAnchor>
    <xdr:from>
      <xdr:col>16</xdr:col>
      <xdr:colOff>591875</xdr:colOff>
      <xdr:row>3</xdr:row>
      <xdr:rowOff>137633</xdr:rowOff>
    </xdr:from>
    <xdr:to>
      <xdr:col>20</xdr:col>
      <xdr:colOff>158702</xdr:colOff>
      <xdr:row>8</xdr:row>
      <xdr:rowOff>156339</xdr:rowOff>
    </xdr:to>
    <xdr:sp macro="" textlink="">
      <xdr:nvSpPr>
        <xdr:cNvPr id="8" name="Rectangle: Rounded Corners 7">
          <a:extLst>
            <a:ext uri="{FF2B5EF4-FFF2-40B4-BE49-F238E27FC236}">
              <a16:creationId xmlns:a16="http://schemas.microsoft.com/office/drawing/2014/main" id="{0020F1D6-EB4B-4FC8-9F63-EC10BAA2A5DF}"/>
            </a:ext>
          </a:extLst>
        </xdr:cNvPr>
        <xdr:cNvSpPr/>
      </xdr:nvSpPr>
      <xdr:spPr>
        <a:xfrm>
          <a:off x="10345475" y="696433"/>
          <a:ext cx="2005227" cy="9500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27609</xdr:colOff>
      <xdr:row>9</xdr:row>
      <xdr:rowOff>151849</xdr:rowOff>
    </xdr:from>
    <xdr:to>
      <xdr:col>2</xdr:col>
      <xdr:colOff>7743</xdr:colOff>
      <xdr:row>25</xdr:row>
      <xdr:rowOff>69023</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D1967124-0EEE-4EE0-A52F-A6DFD657E4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7609" y="1854189"/>
              <a:ext cx="1196091" cy="29435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260232</xdr:colOff>
      <xdr:row>3</xdr:row>
      <xdr:rowOff>74587</xdr:rowOff>
    </xdr:from>
    <xdr:to>
      <xdr:col>5</xdr:col>
      <xdr:colOff>280581</xdr:colOff>
      <xdr:row>8</xdr:row>
      <xdr:rowOff>44303</xdr:rowOff>
    </xdr:to>
    <xdr:sp macro="" textlink="'PIVOT '!A91">
      <xdr:nvSpPr>
        <xdr:cNvPr id="3" name="Rectangle: Rounded Corners 2">
          <a:extLst>
            <a:ext uri="{FF2B5EF4-FFF2-40B4-BE49-F238E27FC236}">
              <a16:creationId xmlns:a16="http://schemas.microsoft.com/office/drawing/2014/main" id="{51D227FD-7E41-025A-5B5A-B82051C6D258}"/>
            </a:ext>
          </a:extLst>
        </xdr:cNvPr>
        <xdr:cNvSpPr/>
      </xdr:nvSpPr>
      <xdr:spPr>
        <a:xfrm>
          <a:off x="1471162" y="606215"/>
          <a:ext cx="1836745" cy="8557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endParaRPr lang="en-US" sz="1100" b="0" i="0" u="none" strike="noStrike">
            <a:solidFill>
              <a:srgbClr val="000000"/>
            </a:solidFill>
            <a:latin typeface="Calibri"/>
            <a:ea typeface="Calibri"/>
            <a:cs typeface="Calibri"/>
          </a:endParaRPr>
        </a:p>
        <a:p>
          <a:pPr algn="l"/>
          <a:endParaRPr lang="en-GB" sz="1200" b="1" baseline="0"/>
        </a:p>
      </xdr:txBody>
    </xdr:sp>
    <xdr:clientData/>
  </xdr:twoCellAnchor>
  <xdr:oneCellAnchor>
    <xdr:from>
      <xdr:col>3</xdr:col>
      <xdr:colOff>147134</xdr:colOff>
      <xdr:row>3</xdr:row>
      <xdr:rowOff>147134</xdr:rowOff>
    </xdr:from>
    <xdr:ext cx="1413977" cy="280205"/>
    <xdr:sp macro="" textlink="">
      <xdr:nvSpPr>
        <xdr:cNvPr id="10" name="TextBox 9">
          <a:extLst>
            <a:ext uri="{FF2B5EF4-FFF2-40B4-BE49-F238E27FC236}">
              <a16:creationId xmlns:a16="http://schemas.microsoft.com/office/drawing/2014/main" id="{E7276EA9-4FFD-4D5A-2E2B-C3958B7E1E24}"/>
            </a:ext>
          </a:extLst>
        </xdr:cNvPr>
        <xdr:cNvSpPr txBox="1"/>
      </xdr:nvSpPr>
      <xdr:spPr>
        <a:xfrm>
          <a:off x="1982439" y="704695"/>
          <a:ext cx="141397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Avg Life Expectancy</a:t>
          </a:r>
        </a:p>
      </xdr:txBody>
    </xdr:sp>
    <xdr:clientData/>
  </xdr:oneCellAnchor>
  <xdr:oneCellAnchor>
    <xdr:from>
      <xdr:col>6</xdr:col>
      <xdr:colOff>330509</xdr:colOff>
      <xdr:row>3</xdr:row>
      <xdr:rowOff>67217</xdr:rowOff>
    </xdr:from>
    <xdr:ext cx="1559003" cy="280205"/>
    <xdr:sp macro="" textlink="">
      <xdr:nvSpPr>
        <xdr:cNvPr id="16" name="TextBox 15">
          <a:extLst>
            <a:ext uri="{FF2B5EF4-FFF2-40B4-BE49-F238E27FC236}">
              <a16:creationId xmlns:a16="http://schemas.microsoft.com/office/drawing/2014/main" id="{D0A74A9A-9407-4CB4-B9FD-9A50264BD425}"/>
            </a:ext>
          </a:extLst>
        </xdr:cNvPr>
        <xdr:cNvSpPr txBox="1"/>
      </xdr:nvSpPr>
      <xdr:spPr>
        <a:xfrm>
          <a:off x="4001119" y="624778"/>
          <a:ext cx="155900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10</xdr:col>
      <xdr:colOff>204128</xdr:colOff>
      <xdr:row>3</xdr:row>
      <xdr:rowOff>80226</xdr:rowOff>
    </xdr:from>
    <xdr:ext cx="1499530" cy="314713"/>
    <xdr:sp macro="" textlink="">
      <xdr:nvSpPr>
        <xdr:cNvPr id="17" name="TextBox 16">
          <a:extLst>
            <a:ext uri="{FF2B5EF4-FFF2-40B4-BE49-F238E27FC236}">
              <a16:creationId xmlns:a16="http://schemas.microsoft.com/office/drawing/2014/main" id="{6F563A36-2639-42EF-9D60-18043B5A3A15}"/>
            </a:ext>
          </a:extLst>
        </xdr:cNvPr>
        <xdr:cNvSpPr txBox="1"/>
      </xdr:nvSpPr>
      <xdr:spPr>
        <a:xfrm>
          <a:off x="6321811" y="637787"/>
          <a:ext cx="1499530" cy="314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13</xdr:col>
      <xdr:colOff>82249</xdr:colOff>
      <xdr:row>3</xdr:row>
      <xdr:rowOff>164192</xdr:rowOff>
    </xdr:from>
    <xdr:ext cx="1594936" cy="293959"/>
    <xdr:sp macro="" textlink="">
      <xdr:nvSpPr>
        <xdr:cNvPr id="18" name="TextBox 17">
          <a:extLst>
            <a:ext uri="{FF2B5EF4-FFF2-40B4-BE49-F238E27FC236}">
              <a16:creationId xmlns:a16="http://schemas.microsoft.com/office/drawing/2014/main" id="{D3FC4CAD-A9FB-45E9-BB46-BCF8FBDCF966}"/>
            </a:ext>
          </a:extLst>
        </xdr:cNvPr>
        <xdr:cNvSpPr txBox="1"/>
      </xdr:nvSpPr>
      <xdr:spPr>
        <a:xfrm>
          <a:off x="7953296" y="695820"/>
          <a:ext cx="1594936" cy="293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17</xdr:col>
      <xdr:colOff>36812</xdr:colOff>
      <xdr:row>4</xdr:row>
      <xdr:rowOff>17898</xdr:rowOff>
    </xdr:from>
    <xdr:ext cx="1360116" cy="280205"/>
    <xdr:sp macro="" textlink="">
      <xdr:nvSpPr>
        <xdr:cNvPr id="19" name="TextBox 18">
          <a:extLst>
            <a:ext uri="{FF2B5EF4-FFF2-40B4-BE49-F238E27FC236}">
              <a16:creationId xmlns:a16="http://schemas.microsoft.com/office/drawing/2014/main" id="{04C0AAA6-824A-44F3-8568-8D4F88E13FC8}"/>
            </a:ext>
          </a:extLst>
        </xdr:cNvPr>
        <xdr:cNvSpPr txBox="1"/>
      </xdr:nvSpPr>
      <xdr:spPr>
        <a:xfrm>
          <a:off x="10352034" y="751676"/>
          <a:ext cx="136011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Avg Health Expend</a:t>
          </a:r>
        </a:p>
      </xdr:txBody>
    </xdr:sp>
    <xdr:clientData/>
  </xdr:oneCellAnchor>
  <xdr:twoCellAnchor>
    <xdr:from>
      <xdr:col>5</xdr:col>
      <xdr:colOff>541867</xdr:colOff>
      <xdr:row>3</xdr:row>
      <xdr:rowOff>116384</xdr:rowOff>
    </xdr:from>
    <xdr:to>
      <xdr:col>9</xdr:col>
      <xdr:colOff>16933</xdr:colOff>
      <xdr:row>8</xdr:row>
      <xdr:rowOff>76201</xdr:rowOff>
    </xdr:to>
    <xdr:sp macro="" textlink="">
      <xdr:nvSpPr>
        <xdr:cNvPr id="20" name="Rectangle: Rounded Corners 19">
          <a:extLst>
            <a:ext uri="{FF2B5EF4-FFF2-40B4-BE49-F238E27FC236}">
              <a16:creationId xmlns:a16="http://schemas.microsoft.com/office/drawing/2014/main" id="{1B0FDD41-B894-4585-83BC-DF0E91BE3883}"/>
            </a:ext>
          </a:extLst>
        </xdr:cNvPr>
        <xdr:cNvSpPr/>
      </xdr:nvSpPr>
      <xdr:spPr>
        <a:xfrm>
          <a:off x="3589867" y="675184"/>
          <a:ext cx="1913466" cy="891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p>
      </xdr:txBody>
    </xdr:sp>
    <xdr:clientData/>
  </xdr:twoCellAnchor>
  <xdr:oneCellAnchor>
    <xdr:from>
      <xdr:col>7</xdr:col>
      <xdr:colOff>13319</xdr:colOff>
      <xdr:row>3</xdr:row>
      <xdr:rowOff>129477</xdr:rowOff>
    </xdr:from>
    <xdr:ext cx="1594936" cy="280205"/>
    <xdr:sp macro="" textlink="">
      <xdr:nvSpPr>
        <xdr:cNvPr id="23" name="TextBox 22">
          <a:extLst>
            <a:ext uri="{FF2B5EF4-FFF2-40B4-BE49-F238E27FC236}">
              <a16:creationId xmlns:a16="http://schemas.microsoft.com/office/drawing/2014/main" id="{E68245AF-0889-4F4E-920C-0CAA898804BF}"/>
            </a:ext>
          </a:extLst>
        </xdr:cNvPr>
        <xdr:cNvSpPr txBox="1"/>
      </xdr:nvSpPr>
      <xdr:spPr>
        <a:xfrm>
          <a:off x="4295697" y="687038"/>
          <a:ext cx="15949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Avg  TB Burden </a:t>
          </a:r>
        </a:p>
      </xdr:txBody>
    </xdr:sp>
    <xdr:clientData/>
  </xdr:oneCellAnchor>
  <xdr:oneCellAnchor>
    <xdr:from>
      <xdr:col>6</xdr:col>
      <xdr:colOff>489206</xdr:colOff>
      <xdr:row>6</xdr:row>
      <xdr:rowOff>35415</xdr:rowOff>
    </xdr:from>
    <xdr:ext cx="1499530" cy="280205"/>
    <xdr:sp macro="" textlink="'PIVOT '!A82">
      <xdr:nvSpPr>
        <xdr:cNvPr id="24" name="TextBox 23">
          <a:extLst>
            <a:ext uri="{FF2B5EF4-FFF2-40B4-BE49-F238E27FC236}">
              <a16:creationId xmlns:a16="http://schemas.microsoft.com/office/drawing/2014/main" id="{DF2BDFDD-EC11-4171-8A6D-33F83A3C061E}"/>
            </a:ext>
          </a:extLst>
        </xdr:cNvPr>
        <xdr:cNvSpPr txBox="1"/>
      </xdr:nvSpPr>
      <xdr:spPr>
        <a:xfrm>
          <a:off x="4129873" y="1136082"/>
          <a:ext cx="14995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364.67</a:t>
          </a:r>
        </a:p>
      </xdr:txBody>
    </xdr:sp>
    <xdr:clientData/>
  </xdr:oneCellAnchor>
  <xdr:oneCellAnchor>
    <xdr:from>
      <xdr:col>10</xdr:col>
      <xdr:colOff>539903</xdr:colOff>
      <xdr:row>5</xdr:row>
      <xdr:rowOff>36551</xdr:rowOff>
    </xdr:from>
    <xdr:ext cx="1499530" cy="280205"/>
    <xdr:sp macro="" textlink="'PIVOT '!A84">
      <xdr:nvSpPr>
        <xdr:cNvPr id="25" name="TextBox 24">
          <a:extLst>
            <a:ext uri="{FF2B5EF4-FFF2-40B4-BE49-F238E27FC236}">
              <a16:creationId xmlns:a16="http://schemas.microsoft.com/office/drawing/2014/main" id="{543EAE98-D2E5-4478-B9FF-8F7DAC5B18B7}"/>
            </a:ext>
          </a:extLst>
        </xdr:cNvPr>
        <xdr:cNvSpPr txBox="1"/>
      </xdr:nvSpPr>
      <xdr:spPr>
        <a:xfrm>
          <a:off x="6657586" y="965819"/>
          <a:ext cx="14995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114.56</a:t>
          </a:r>
        </a:p>
      </xdr:txBody>
    </xdr:sp>
    <xdr:clientData/>
  </xdr:oneCellAnchor>
  <xdr:oneCellAnchor>
    <xdr:from>
      <xdr:col>14</xdr:col>
      <xdr:colOff>479778</xdr:colOff>
      <xdr:row>6</xdr:row>
      <xdr:rowOff>42332</xdr:rowOff>
    </xdr:from>
    <xdr:ext cx="1779527" cy="280205"/>
    <xdr:sp macro="" textlink="'PIVOT '!A82">
      <xdr:nvSpPr>
        <xdr:cNvPr id="26" name="TextBox 25">
          <a:extLst>
            <a:ext uri="{FF2B5EF4-FFF2-40B4-BE49-F238E27FC236}">
              <a16:creationId xmlns:a16="http://schemas.microsoft.com/office/drawing/2014/main" id="{73A29461-763A-4462-A792-3A8FECCCF318}"/>
            </a:ext>
          </a:extLst>
        </xdr:cNvPr>
        <xdr:cNvSpPr txBox="1"/>
      </xdr:nvSpPr>
      <xdr:spPr>
        <a:xfrm>
          <a:off x="8974667" y="1142999"/>
          <a:ext cx="177952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93.56</a:t>
          </a:r>
        </a:p>
      </xdr:txBody>
    </xdr:sp>
    <xdr:clientData/>
  </xdr:oneCellAnchor>
  <xdr:oneCellAnchor>
    <xdr:from>
      <xdr:col>18</xdr:col>
      <xdr:colOff>206674</xdr:colOff>
      <xdr:row>6</xdr:row>
      <xdr:rowOff>14960</xdr:rowOff>
    </xdr:from>
    <xdr:ext cx="1499530" cy="280205"/>
    <xdr:sp macro="" textlink="'PIVOT '!A82">
      <xdr:nvSpPr>
        <xdr:cNvPr id="27" name="TextBox 26">
          <a:extLst>
            <a:ext uri="{FF2B5EF4-FFF2-40B4-BE49-F238E27FC236}">
              <a16:creationId xmlns:a16="http://schemas.microsoft.com/office/drawing/2014/main" id="{A6DE866E-7471-4AC0-81EF-A83903E1AD39}"/>
            </a:ext>
          </a:extLst>
        </xdr:cNvPr>
        <xdr:cNvSpPr txBox="1"/>
      </xdr:nvSpPr>
      <xdr:spPr>
        <a:xfrm>
          <a:off x="11128674" y="1115627"/>
          <a:ext cx="14995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461.97</a:t>
          </a:r>
        </a:p>
      </xdr:txBody>
    </xdr:sp>
    <xdr:clientData/>
  </xdr:oneCellAnchor>
  <xdr:oneCellAnchor>
    <xdr:from>
      <xdr:col>4</xdr:col>
      <xdr:colOff>46464</xdr:colOff>
      <xdr:row>5</xdr:row>
      <xdr:rowOff>77439</xdr:rowOff>
    </xdr:from>
    <xdr:ext cx="1125652" cy="280205"/>
    <xdr:sp macro="" textlink="'PIVOT '!A82">
      <xdr:nvSpPr>
        <xdr:cNvPr id="28" name="TextBox 27">
          <a:extLst>
            <a:ext uri="{FF2B5EF4-FFF2-40B4-BE49-F238E27FC236}">
              <a16:creationId xmlns:a16="http://schemas.microsoft.com/office/drawing/2014/main" id="{9FCE5F61-9F0F-45F0-93A3-B3CFF98D524A}"/>
            </a:ext>
          </a:extLst>
        </xdr:cNvPr>
        <xdr:cNvSpPr txBox="1"/>
      </xdr:nvSpPr>
      <xdr:spPr>
        <a:xfrm>
          <a:off x="2493537" y="1006707"/>
          <a:ext cx="112565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105.75</a:t>
          </a:r>
        </a:p>
      </xdr:txBody>
    </xdr:sp>
    <xdr:clientData/>
  </xdr:oneCellAnchor>
  <xdr:twoCellAnchor>
    <xdr:from>
      <xdr:col>4</xdr:col>
      <xdr:colOff>12206</xdr:colOff>
      <xdr:row>11</xdr:row>
      <xdr:rowOff>105519</xdr:rowOff>
    </xdr:from>
    <xdr:to>
      <xdr:col>12</xdr:col>
      <xdr:colOff>468659</xdr:colOff>
      <xdr:row>27</xdr:row>
      <xdr:rowOff>60740</xdr:rowOff>
    </xdr:to>
    <xdr:graphicFrame macro="">
      <xdr:nvGraphicFramePr>
        <xdr:cNvPr id="29" name="Chart 28">
          <a:extLst>
            <a:ext uri="{FF2B5EF4-FFF2-40B4-BE49-F238E27FC236}">
              <a16:creationId xmlns:a16="http://schemas.microsoft.com/office/drawing/2014/main" id="{17935712-7B24-4319-9205-199A212E4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48386</xdr:colOff>
      <xdr:row>10</xdr:row>
      <xdr:rowOff>88253</xdr:rowOff>
    </xdr:from>
    <xdr:to>
      <xdr:col>25</xdr:col>
      <xdr:colOff>499979</xdr:colOff>
      <xdr:row>28</xdr:row>
      <xdr:rowOff>88250</xdr:rowOff>
    </xdr:to>
    <xdr:graphicFrame macro="">
      <xdr:nvGraphicFramePr>
        <xdr:cNvPr id="30" name="Chart 29">
          <a:extLst>
            <a:ext uri="{FF2B5EF4-FFF2-40B4-BE49-F238E27FC236}">
              <a16:creationId xmlns:a16="http://schemas.microsoft.com/office/drawing/2014/main" id="{4451295D-AF24-417B-B552-CFE2370D6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209009</xdr:colOff>
      <xdr:row>53</xdr:row>
      <xdr:rowOff>151659</xdr:rowOff>
    </xdr:from>
    <xdr:to>
      <xdr:col>14</xdr:col>
      <xdr:colOff>127439</xdr:colOff>
      <xdr:row>75</xdr:row>
      <xdr:rowOff>52142</xdr:rowOff>
    </xdr:to>
    <xdr:graphicFrame macro="">
      <xdr:nvGraphicFramePr>
        <xdr:cNvPr id="34" name="Chart 33">
          <a:extLst>
            <a:ext uri="{FF2B5EF4-FFF2-40B4-BE49-F238E27FC236}">
              <a16:creationId xmlns:a16="http://schemas.microsoft.com/office/drawing/2014/main" id="{887AED14-CDB0-4F17-9591-68D6C70F9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488171</xdr:colOff>
      <xdr:row>52</xdr:row>
      <xdr:rowOff>107360</xdr:rowOff>
    </xdr:from>
    <xdr:to>
      <xdr:col>27</xdr:col>
      <xdr:colOff>47689</xdr:colOff>
      <xdr:row>74</xdr:row>
      <xdr:rowOff>179269</xdr:rowOff>
    </xdr:to>
    <xdr:graphicFrame macro="">
      <xdr:nvGraphicFramePr>
        <xdr:cNvPr id="35" name="Chart 34">
          <a:extLst>
            <a:ext uri="{FF2B5EF4-FFF2-40B4-BE49-F238E27FC236}">
              <a16:creationId xmlns:a16="http://schemas.microsoft.com/office/drawing/2014/main" id="{A4BDE3BA-A1D5-40D5-9468-0434F7F1A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256049</xdr:colOff>
      <xdr:row>0</xdr:row>
      <xdr:rowOff>81935</xdr:rowOff>
    </xdr:from>
    <xdr:ext cx="4117257" cy="542823"/>
    <xdr:sp macro="" textlink="'PIVOT '!A82">
      <xdr:nvSpPr>
        <xdr:cNvPr id="38" name="TextBox 37">
          <a:extLst>
            <a:ext uri="{FF2B5EF4-FFF2-40B4-BE49-F238E27FC236}">
              <a16:creationId xmlns:a16="http://schemas.microsoft.com/office/drawing/2014/main" id="{6772DF04-F7FE-4E3D-889D-3C4F987FF87F}"/>
            </a:ext>
          </a:extLst>
        </xdr:cNvPr>
        <xdr:cNvSpPr txBox="1"/>
      </xdr:nvSpPr>
      <xdr:spPr>
        <a:xfrm>
          <a:off x="4557662" y="81935"/>
          <a:ext cx="4117257" cy="542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800">
              <a:solidFill>
                <a:schemeClr val="bg1"/>
              </a:solidFill>
            </a:rPr>
            <a:t>ASEAN</a:t>
          </a:r>
          <a:r>
            <a:rPr lang="en-GB" sz="1800" baseline="0">
              <a:solidFill>
                <a:schemeClr val="bg1"/>
              </a:solidFill>
            </a:rPr>
            <a:t> HEALTHCARE PERFORMANCE DASHBOARD</a:t>
          </a:r>
          <a:endParaRPr lang="en-GB" sz="1800">
            <a:solidFill>
              <a:schemeClr val="bg1"/>
            </a:solidFill>
          </a:endParaRPr>
        </a:p>
      </xdr:txBody>
    </xdr:sp>
    <xdr:clientData/>
  </xdr:oneCellAnchor>
  <xdr:twoCellAnchor>
    <xdr:from>
      <xdr:col>20</xdr:col>
      <xdr:colOff>477760</xdr:colOff>
      <xdr:row>3</xdr:row>
      <xdr:rowOff>167917</xdr:rowOff>
    </xdr:from>
    <xdr:to>
      <xdr:col>24</xdr:col>
      <xdr:colOff>16934</xdr:colOff>
      <xdr:row>8</xdr:row>
      <xdr:rowOff>160867</xdr:rowOff>
    </xdr:to>
    <xdr:sp macro="" textlink="">
      <xdr:nvSpPr>
        <xdr:cNvPr id="39" name="Rectangle: Rounded Corners 38">
          <a:extLst>
            <a:ext uri="{FF2B5EF4-FFF2-40B4-BE49-F238E27FC236}">
              <a16:creationId xmlns:a16="http://schemas.microsoft.com/office/drawing/2014/main" id="{7AB44B9B-85A2-40E3-B8E3-DB8251979327}"/>
            </a:ext>
          </a:extLst>
        </xdr:cNvPr>
        <xdr:cNvSpPr/>
      </xdr:nvSpPr>
      <xdr:spPr>
        <a:xfrm>
          <a:off x="12669760" y="726717"/>
          <a:ext cx="1977574" cy="9242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21</xdr:col>
      <xdr:colOff>193983</xdr:colOff>
      <xdr:row>3</xdr:row>
      <xdr:rowOff>136313</xdr:rowOff>
    </xdr:from>
    <xdr:ext cx="1496820" cy="280205"/>
    <xdr:sp macro="" textlink="">
      <xdr:nvSpPr>
        <xdr:cNvPr id="40" name="TextBox 39">
          <a:extLst>
            <a:ext uri="{FF2B5EF4-FFF2-40B4-BE49-F238E27FC236}">
              <a16:creationId xmlns:a16="http://schemas.microsoft.com/office/drawing/2014/main" id="{53062ED3-EC3C-47DB-ACC3-41BBEB269B4A}"/>
            </a:ext>
          </a:extLst>
        </xdr:cNvPr>
        <xdr:cNvSpPr txBox="1"/>
      </xdr:nvSpPr>
      <xdr:spPr>
        <a:xfrm>
          <a:off x="12936316" y="686646"/>
          <a:ext cx="149682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Avg Asean</a:t>
          </a:r>
          <a:r>
            <a:rPr lang="en-GB" sz="1200" baseline="0">
              <a:solidFill>
                <a:schemeClr val="bg1"/>
              </a:solidFill>
            </a:rPr>
            <a:t> Risk Score</a:t>
          </a:r>
          <a:endParaRPr lang="en-GB" sz="1200">
            <a:solidFill>
              <a:schemeClr val="bg1"/>
            </a:solidFill>
          </a:endParaRPr>
        </a:p>
      </xdr:txBody>
    </xdr:sp>
    <xdr:clientData/>
  </xdr:oneCellAnchor>
  <xdr:oneCellAnchor>
    <xdr:from>
      <xdr:col>22</xdr:col>
      <xdr:colOff>239628</xdr:colOff>
      <xdr:row>5</xdr:row>
      <xdr:rowOff>83092</xdr:rowOff>
    </xdr:from>
    <xdr:ext cx="1499530" cy="280205"/>
    <xdr:sp macro="" textlink="'PIVOT '!A82">
      <xdr:nvSpPr>
        <xdr:cNvPr id="41" name="TextBox 40">
          <a:extLst>
            <a:ext uri="{FF2B5EF4-FFF2-40B4-BE49-F238E27FC236}">
              <a16:creationId xmlns:a16="http://schemas.microsoft.com/office/drawing/2014/main" id="{10CBB090-82EC-417A-B623-F1A9FA1D9D14}"/>
            </a:ext>
          </a:extLst>
        </xdr:cNvPr>
        <xdr:cNvSpPr txBox="1"/>
      </xdr:nvSpPr>
      <xdr:spPr>
        <a:xfrm>
          <a:off x="13588739" y="1000314"/>
          <a:ext cx="14995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116.03</a:t>
          </a:r>
        </a:p>
      </xdr:txBody>
    </xdr:sp>
    <xdr:clientData/>
  </xdr:oneCellAnchor>
  <xdr:twoCellAnchor editAs="oneCell">
    <xdr:from>
      <xdr:col>4</xdr:col>
      <xdr:colOff>24532</xdr:colOff>
      <xdr:row>32</xdr:row>
      <xdr:rowOff>15874</xdr:rowOff>
    </xdr:from>
    <xdr:to>
      <xdr:col>26</xdr:col>
      <xdr:colOff>53397</xdr:colOff>
      <xdr:row>47</xdr:row>
      <xdr:rowOff>177511</xdr:rowOff>
    </xdr:to>
    <xdr:pic>
      <xdr:nvPicPr>
        <xdr:cNvPr id="44" name="Picture 43">
          <a:extLst>
            <a:ext uri="{FF2B5EF4-FFF2-40B4-BE49-F238E27FC236}">
              <a16:creationId xmlns:a16="http://schemas.microsoft.com/office/drawing/2014/main" id="{41AC818D-F43E-0A98-C91B-AB1EE1380E30}"/>
            </a:ext>
          </a:extLst>
        </xdr:cNvPr>
        <xdr:cNvPicPr>
          <a:picLocks noChangeAspect="1"/>
        </xdr:cNvPicPr>
      </xdr:nvPicPr>
      <xdr:blipFill rotWithShape="1">
        <a:blip xmlns:r="http://schemas.openxmlformats.org/officeDocument/2006/relationships" r:embed="rId5"/>
        <a:srcRect r="-325"/>
        <a:stretch>
          <a:fillRect/>
        </a:stretch>
      </xdr:blipFill>
      <xdr:spPr>
        <a:xfrm>
          <a:off x="2437532" y="6111874"/>
          <a:ext cx="13300365" cy="3019137"/>
        </a:xfrm>
        <a:prstGeom prst="rect">
          <a:avLst/>
        </a:prstGeom>
      </xdr:spPr>
    </xdr:pic>
    <xdr:clientData/>
  </xdr:twoCellAnchor>
  <xdr:oneCellAnchor>
    <xdr:from>
      <xdr:col>5</xdr:col>
      <xdr:colOff>333374</xdr:colOff>
      <xdr:row>11</xdr:row>
      <xdr:rowOff>15874</xdr:rowOff>
    </xdr:from>
    <xdr:ext cx="3381375" cy="523875"/>
    <xdr:sp macro="" textlink="'PIVOT '!A82">
      <xdr:nvSpPr>
        <xdr:cNvPr id="45" name="TextBox 44">
          <a:extLst>
            <a:ext uri="{FF2B5EF4-FFF2-40B4-BE49-F238E27FC236}">
              <a16:creationId xmlns:a16="http://schemas.microsoft.com/office/drawing/2014/main" id="{5CA57E4D-3685-42E6-AF27-95A56A14AF0B}"/>
            </a:ext>
          </a:extLst>
        </xdr:cNvPr>
        <xdr:cNvSpPr txBox="1"/>
      </xdr:nvSpPr>
      <xdr:spPr>
        <a:xfrm>
          <a:off x="3349624" y="2111374"/>
          <a:ext cx="3381375" cy="523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0" i="0" u="none" strike="noStrike">
              <a:solidFill>
                <a:schemeClr val="bg1"/>
              </a:solidFill>
              <a:effectLst/>
              <a:latin typeface="+mn-lt"/>
              <a:ea typeface="+mn-ea"/>
              <a:cs typeface="+mn-cs"/>
            </a:rPr>
            <a:t>ASean</a:t>
          </a:r>
          <a:r>
            <a:rPr lang="en-GB" sz="1100" b="0" i="0" u="none" strike="noStrike" baseline="0">
              <a:solidFill>
                <a:schemeClr val="bg1"/>
              </a:solidFill>
              <a:effectLst/>
              <a:latin typeface="+mn-lt"/>
              <a:ea typeface="+mn-ea"/>
              <a:cs typeface="+mn-cs"/>
            </a:rPr>
            <a:t> Life Expectancy Comparison Analysis</a:t>
          </a:r>
          <a:endParaRPr lang="en-GB" sz="1100">
            <a:solidFill>
              <a:schemeClr val="bg1"/>
            </a:solidFill>
          </a:endParaRPr>
        </a:p>
      </xdr:txBody>
    </xdr:sp>
    <xdr:clientData/>
  </xdr:oneCellAnchor>
  <xdr:oneCellAnchor>
    <xdr:from>
      <xdr:col>20</xdr:col>
      <xdr:colOff>378443</xdr:colOff>
      <xdr:row>10</xdr:row>
      <xdr:rowOff>541</xdr:rowOff>
    </xdr:from>
    <xdr:ext cx="1499530" cy="280205"/>
    <xdr:sp macro="" textlink="'PIVOT '!A82">
      <xdr:nvSpPr>
        <xdr:cNvPr id="46" name="TextBox 45">
          <a:extLst>
            <a:ext uri="{FF2B5EF4-FFF2-40B4-BE49-F238E27FC236}">
              <a16:creationId xmlns:a16="http://schemas.microsoft.com/office/drawing/2014/main" id="{4A573B80-A674-45E8-B4CB-C5CB1DFC558D}"/>
            </a:ext>
          </a:extLst>
        </xdr:cNvPr>
        <xdr:cNvSpPr txBox="1"/>
      </xdr:nvSpPr>
      <xdr:spPr>
        <a:xfrm>
          <a:off x="12443443" y="1905541"/>
          <a:ext cx="14995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12</xdr:col>
      <xdr:colOff>76639</xdr:colOff>
      <xdr:row>28</xdr:row>
      <xdr:rowOff>98535</xdr:rowOff>
    </xdr:from>
    <xdr:ext cx="3503448" cy="503620"/>
    <xdr:sp macro="" textlink="'PIVOT '!A82">
      <xdr:nvSpPr>
        <xdr:cNvPr id="47" name="TextBox 46">
          <a:extLst>
            <a:ext uri="{FF2B5EF4-FFF2-40B4-BE49-F238E27FC236}">
              <a16:creationId xmlns:a16="http://schemas.microsoft.com/office/drawing/2014/main" id="{CEE7EE70-812E-4793-A7D7-ABFCC1455074}"/>
            </a:ext>
          </a:extLst>
        </xdr:cNvPr>
        <xdr:cNvSpPr txBox="1"/>
      </xdr:nvSpPr>
      <xdr:spPr>
        <a:xfrm>
          <a:off x="7433880" y="5309914"/>
          <a:ext cx="3503448" cy="5036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a:solidFill>
                <a:schemeClr val="bg1"/>
              </a:solidFill>
            </a:rPr>
            <a:t>Maternal</a:t>
          </a:r>
          <a:r>
            <a:rPr lang="en-GB" sz="1200" baseline="0">
              <a:solidFill>
                <a:schemeClr val="bg1"/>
              </a:solidFill>
            </a:rPr>
            <a:t> &amp; Child  Health Analysis</a:t>
          </a:r>
          <a:endParaRPr lang="en-GB" sz="1200">
            <a:solidFill>
              <a:schemeClr val="bg1"/>
            </a:solidFill>
          </a:endParaRPr>
        </a:p>
      </xdr:txBody>
    </xdr:sp>
    <xdr:clientData/>
  </xdr:oneCellAnchor>
  <xdr:oneCellAnchor>
    <xdr:from>
      <xdr:col>8</xdr:col>
      <xdr:colOff>16493</xdr:colOff>
      <xdr:row>50</xdr:row>
      <xdr:rowOff>131380</xdr:rowOff>
    </xdr:from>
    <xdr:ext cx="2665834" cy="602155"/>
    <xdr:sp macro="" textlink="'PIVOT '!A82">
      <xdr:nvSpPr>
        <xdr:cNvPr id="48" name="TextBox 47">
          <a:extLst>
            <a:ext uri="{FF2B5EF4-FFF2-40B4-BE49-F238E27FC236}">
              <a16:creationId xmlns:a16="http://schemas.microsoft.com/office/drawing/2014/main" id="{1C43C265-2623-4B86-8B61-677607F9C1A4}"/>
            </a:ext>
          </a:extLst>
        </xdr:cNvPr>
        <xdr:cNvSpPr txBox="1"/>
      </xdr:nvSpPr>
      <xdr:spPr>
        <a:xfrm>
          <a:off x="4921321" y="9437414"/>
          <a:ext cx="2665834" cy="602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a:solidFill>
                <a:schemeClr val="bg1"/>
              </a:solidFill>
            </a:rPr>
            <a:t>Healthcare</a:t>
          </a:r>
          <a:r>
            <a:rPr lang="en-GB" sz="1200" baseline="0">
              <a:solidFill>
                <a:schemeClr val="bg1"/>
              </a:solidFill>
            </a:rPr>
            <a:t> Workforce Analysis</a:t>
          </a:r>
          <a:endParaRPr lang="en-GB" sz="1200">
            <a:solidFill>
              <a:schemeClr val="bg1"/>
            </a:solidFill>
          </a:endParaRPr>
        </a:p>
      </xdr:txBody>
    </xdr:sp>
    <xdr:clientData/>
  </xdr:oneCellAnchor>
  <xdr:oneCellAnchor>
    <xdr:from>
      <xdr:col>19</xdr:col>
      <xdr:colOff>218965</xdr:colOff>
      <xdr:row>50</xdr:row>
      <xdr:rowOff>32846</xdr:rowOff>
    </xdr:from>
    <xdr:ext cx="3009039" cy="405086"/>
    <xdr:sp macro="" textlink="'PIVOT '!A82">
      <xdr:nvSpPr>
        <xdr:cNvPr id="49" name="TextBox 48">
          <a:extLst>
            <a:ext uri="{FF2B5EF4-FFF2-40B4-BE49-F238E27FC236}">
              <a16:creationId xmlns:a16="http://schemas.microsoft.com/office/drawing/2014/main" id="{D3D1CE6F-958A-4D42-B59B-436202A54B96}"/>
            </a:ext>
          </a:extLst>
        </xdr:cNvPr>
        <xdr:cNvSpPr txBox="1"/>
      </xdr:nvSpPr>
      <xdr:spPr>
        <a:xfrm>
          <a:off x="11867931" y="9338880"/>
          <a:ext cx="3009039" cy="405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a:solidFill>
                <a:schemeClr val="bg1"/>
              </a:solidFill>
            </a:rPr>
            <a:t>Investment</a:t>
          </a:r>
          <a:r>
            <a:rPr lang="en-GB" sz="1200" baseline="0">
              <a:solidFill>
                <a:schemeClr val="bg1"/>
              </a:solidFill>
            </a:rPr>
            <a:t> /Health Outcome</a:t>
          </a:r>
          <a:endParaRPr lang="en-GB" sz="1200">
            <a:solidFill>
              <a:schemeClr val="bg1"/>
            </a:solidFill>
          </a:endParaRPr>
        </a:p>
      </xdr:txBody>
    </xdr:sp>
    <xdr:clientData/>
  </xdr:oneCellAnchor>
  <xdr:oneCellAnchor>
    <xdr:from>
      <xdr:col>21</xdr:col>
      <xdr:colOff>404538</xdr:colOff>
      <xdr:row>10</xdr:row>
      <xdr:rowOff>107839</xdr:rowOff>
    </xdr:from>
    <xdr:ext cx="3381375" cy="523875"/>
    <xdr:sp macro="" textlink="'PIVOT '!A82">
      <xdr:nvSpPr>
        <xdr:cNvPr id="50" name="TextBox 49">
          <a:extLst>
            <a:ext uri="{FF2B5EF4-FFF2-40B4-BE49-F238E27FC236}">
              <a16:creationId xmlns:a16="http://schemas.microsoft.com/office/drawing/2014/main" id="{7D5C63E2-ED76-44C8-90B3-8E99D53E3B75}"/>
            </a:ext>
          </a:extLst>
        </xdr:cNvPr>
        <xdr:cNvSpPr txBox="1"/>
      </xdr:nvSpPr>
      <xdr:spPr>
        <a:xfrm>
          <a:off x="13279710" y="1969046"/>
          <a:ext cx="3381375" cy="523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100" b="0" i="0" u="none" strike="noStrike">
              <a:solidFill>
                <a:schemeClr val="bg1"/>
              </a:solidFill>
              <a:effectLst/>
              <a:latin typeface="+mn-lt"/>
              <a:ea typeface="+mn-ea"/>
              <a:cs typeface="+mn-cs"/>
            </a:rPr>
            <a:t>Asean</a:t>
          </a:r>
          <a:r>
            <a:rPr lang="en-GB" sz="1100" b="0" i="0" u="none" strike="noStrike" baseline="0">
              <a:solidFill>
                <a:schemeClr val="bg1"/>
              </a:solidFill>
              <a:effectLst/>
              <a:latin typeface="+mn-lt"/>
              <a:ea typeface="+mn-ea"/>
              <a:cs typeface="+mn-cs"/>
            </a:rPr>
            <a:t> Disease Burden Analysis</a:t>
          </a:r>
          <a:endParaRPr lang="en-GB" sz="1100">
            <a:solidFill>
              <a:schemeClr val="bg1"/>
            </a:solidFill>
          </a:endParaRPr>
        </a:p>
      </xdr:txBody>
    </xdr:sp>
    <xdr:clientData/>
  </xdr:oneCellAnchor>
  <xdr:twoCellAnchor editAs="oneCell">
    <xdr:from>
      <xdr:col>2</xdr:col>
      <xdr:colOff>395110</xdr:colOff>
      <xdr:row>4</xdr:row>
      <xdr:rowOff>41439</xdr:rowOff>
    </xdr:from>
    <xdr:to>
      <xdr:col>3</xdr:col>
      <xdr:colOff>395111</xdr:colOff>
      <xdr:row>8</xdr:row>
      <xdr:rowOff>157346</xdr:rowOff>
    </xdr:to>
    <xdr:pic>
      <xdr:nvPicPr>
        <xdr:cNvPr id="5" name="Picture 4">
          <a:extLst>
            <a:ext uri="{FF2B5EF4-FFF2-40B4-BE49-F238E27FC236}">
              <a16:creationId xmlns:a16="http://schemas.microsoft.com/office/drawing/2014/main" id="{9DF8D1A5-E62F-BA2E-446F-416DAB80CF51}"/>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608666" y="775217"/>
          <a:ext cx="606778" cy="849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68301</xdr:colOff>
      <xdr:row>5</xdr:row>
      <xdr:rowOff>70556</xdr:rowOff>
    </xdr:from>
    <xdr:to>
      <xdr:col>8</xdr:col>
      <xdr:colOff>508000</xdr:colOff>
      <xdr:row>8</xdr:row>
      <xdr:rowOff>145793</xdr:rowOff>
    </xdr:to>
    <xdr:pic>
      <xdr:nvPicPr>
        <xdr:cNvPr id="11" name="Picture 10">
          <a:extLst>
            <a:ext uri="{FF2B5EF4-FFF2-40B4-BE49-F238E27FC236}">
              <a16:creationId xmlns:a16="http://schemas.microsoft.com/office/drawing/2014/main" id="{7B78D796-4B2B-8FE7-A5EA-30D121A3D32B}"/>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4922523" y="987778"/>
          <a:ext cx="439699" cy="6255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289019</xdr:colOff>
      <xdr:row>5</xdr:row>
      <xdr:rowOff>84667</xdr:rowOff>
    </xdr:from>
    <xdr:to>
      <xdr:col>10</xdr:col>
      <xdr:colOff>338667</xdr:colOff>
      <xdr:row>9</xdr:row>
      <xdr:rowOff>7888</xdr:rowOff>
    </xdr:to>
    <xdr:pic>
      <xdr:nvPicPr>
        <xdr:cNvPr id="12" name="Picture 11">
          <a:extLst>
            <a:ext uri="{FF2B5EF4-FFF2-40B4-BE49-F238E27FC236}">
              <a16:creationId xmlns:a16="http://schemas.microsoft.com/office/drawing/2014/main" id="{3E5A3E70-33ED-5A5E-5E39-DBE5B0797AEE}"/>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750019" y="1001889"/>
          <a:ext cx="656426" cy="656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122068</xdr:colOff>
      <xdr:row>5</xdr:row>
      <xdr:rowOff>112890</xdr:rowOff>
    </xdr:from>
    <xdr:to>
      <xdr:col>14</xdr:col>
      <xdr:colOff>197555</xdr:colOff>
      <xdr:row>9</xdr:row>
      <xdr:rowOff>61972</xdr:rowOff>
    </xdr:to>
    <xdr:pic>
      <xdr:nvPicPr>
        <xdr:cNvPr id="13" name="Picture 12">
          <a:extLst>
            <a:ext uri="{FF2B5EF4-FFF2-40B4-BE49-F238E27FC236}">
              <a16:creationId xmlns:a16="http://schemas.microsoft.com/office/drawing/2014/main" id="{F7FB9B6F-80BC-F868-8451-BFC7AEC26EDE}"/>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8010179" y="1030112"/>
          <a:ext cx="682265" cy="682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126999</xdr:colOff>
      <xdr:row>5</xdr:row>
      <xdr:rowOff>38464</xdr:rowOff>
    </xdr:from>
    <xdr:to>
      <xdr:col>17</xdr:col>
      <xdr:colOff>490674</xdr:colOff>
      <xdr:row>9</xdr:row>
      <xdr:rowOff>14110</xdr:rowOff>
    </xdr:to>
    <xdr:pic>
      <xdr:nvPicPr>
        <xdr:cNvPr id="14" name="Picture 13">
          <a:extLst>
            <a:ext uri="{FF2B5EF4-FFF2-40B4-BE49-F238E27FC236}">
              <a16:creationId xmlns:a16="http://schemas.microsoft.com/office/drawing/2014/main" id="{F1C72DA5-1841-ED03-375C-F5E4BD4076C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442221" y="955686"/>
          <a:ext cx="363675" cy="7094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251047</xdr:colOff>
      <xdr:row>6</xdr:row>
      <xdr:rowOff>26238</xdr:rowOff>
    </xdr:from>
    <xdr:to>
      <xdr:col>21</xdr:col>
      <xdr:colOff>561163</xdr:colOff>
      <xdr:row>7</xdr:row>
      <xdr:rowOff>99767</xdr:rowOff>
    </xdr:to>
    <xdr:pic>
      <xdr:nvPicPr>
        <xdr:cNvPr id="15" name="Picture 14">
          <a:extLst>
            <a:ext uri="{FF2B5EF4-FFF2-40B4-BE49-F238E27FC236}">
              <a16:creationId xmlns:a16="http://schemas.microsoft.com/office/drawing/2014/main" id="{C0F8B1D5-60D8-4E02-67EC-5E2EF48B2981}"/>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2965814" y="1089494"/>
          <a:ext cx="310116" cy="250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158749</xdr:colOff>
      <xdr:row>26</xdr:row>
      <xdr:rowOff>142039</xdr:rowOff>
    </xdr:to>
    <xdr:sp macro="" textlink="">
      <xdr:nvSpPr>
        <xdr:cNvPr id="16" name="Rectangle 15">
          <a:extLst>
            <a:ext uri="{FF2B5EF4-FFF2-40B4-BE49-F238E27FC236}">
              <a16:creationId xmlns:a16="http://schemas.microsoft.com/office/drawing/2014/main" id="{DDAB3601-0E9F-4570-F67E-0B0C643C088D}"/>
            </a:ext>
          </a:extLst>
        </xdr:cNvPr>
        <xdr:cNvSpPr/>
      </xdr:nvSpPr>
      <xdr:spPr>
        <a:xfrm>
          <a:off x="0" y="0"/>
          <a:ext cx="8697828" cy="4921250"/>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215900</xdr:colOff>
      <xdr:row>3</xdr:row>
      <xdr:rowOff>171450</xdr:rowOff>
    </xdr:from>
    <xdr:to>
      <xdr:col>5</xdr:col>
      <xdr:colOff>330200</xdr:colOff>
      <xdr:row>12</xdr:row>
      <xdr:rowOff>12700</xdr:rowOff>
    </xdr:to>
    <xdr:sp macro="" textlink="">
      <xdr:nvSpPr>
        <xdr:cNvPr id="2" name="Rectangle 1">
          <a:extLst>
            <a:ext uri="{FF2B5EF4-FFF2-40B4-BE49-F238E27FC236}">
              <a16:creationId xmlns:a16="http://schemas.microsoft.com/office/drawing/2014/main" id="{508BACA0-B472-C62E-0F01-C976EBD48B4F}"/>
            </a:ext>
          </a:extLst>
        </xdr:cNvPr>
        <xdr:cNvSpPr/>
      </xdr:nvSpPr>
      <xdr:spPr>
        <a:xfrm>
          <a:off x="825500" y="723900"/>
          <a:ext cx="2552700" cy="1498600"/>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317500</xdr:colOff>
      <xdr:row>3</xdr:row>
      <xdr:rowOff>177800</xdr:rowOff>
    </xdr:from>
    <xdr:to>
      <xdr:col>9</xdr:col>
      <xdr:colOff>406400</xdr:colOff>
      <xdr:row>12</xdr:row>
      <xdr:rowOff>6350</xdr:rowOff>
    </xdr:to>
    <xdr:sp macro="" textlink="">
      <xdr:nvSpPr>
        <xdr:cNvPr id="3" name="Rectangle 2">
          <a:extLst>
            <a:ext uri="{FF2B5EF4-FFF2-40B4-BE49-F238E27FC236}">
              <a16:creationId xmlns:a16="http://schemas.microsoft.com/office/drawing/2014/main" id="{5FF84019-C5B9-489E-A850-5CEE8826EE6F}"/>
            </a:ext>
          </a:extLst>
        </xdr:cNvPr>
        <xdr:cNvSpPr/>
      </xdr:nvSpPr>
      <xdr:spPr>
        <a:xfrm>
          <a:off x="3365500" y="730250"/>
          <a:ext cx="2527300" cy="1485900"/>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190500</xdr:colOff>
      <xdr:row>12</xdr:row>
      <xdr:rowOff>12700</xdr:rowOff>
    </xdr:from>
    <xdr:to>
      <xdr:col>5</xdr:col>
      <xdr:colOff>298450</xdr:colOff>
      <xdr:row>20</xdr:row>
      <xdr:rowOff>25400</xdr:rowOff>
    </xdr:to>
    <xdr:sp macro="" textlink="">
      <xdr:nvSpPr>
        <xdr:cNvPr id="4" name="Rectangle 3">
          <a:extLst>
            <a:ext uri="{FF2B5EF4-FFF2-40B4-BE49-F238E27FC236}">
              <a16:creationId xmlns:a16="http://schemas.microsoft.com/office/drawing/2014/main" id="{46E1FD8E-B9E9-4E75-9C10-11CA55380472}"/>
            </a:ext>
          </a:extLst>
        </xdr:cNvPr>
        <xdr:cNvSpPr/>
      </xdr:nvSpPr>
      <xdr:spPr>
        <a:xfrm>
          <a:off x="800100" y="2222500"/>
          <a:ext cx="2546350" cy="14859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292100</xdr:colOff>
      <xdr:row>11</xdr:row>
      <xdr:rowOff>177800</xdr:rowOff>
    </xdr:from>
    <xdr:to>
      <xdr:col>9</xdr:col>
      <xdr:colOff>438150</xdr:colOff>
      <xdr:row>20</xdr:row>
      <xdr:rowOff>6350</xdr:rowOff>
    </xdr:to>
    <xdr:sp macro="" textlink="">
      <xdr:nvSpPr>
        <xdr:cNvPr id="5" name="Rectangle 4">
          <a:extLst>
            <a:ext uri="{FF2B5EF4-FFF2-40B4-BE49-F238E27FC236}">
              <a16:creationId xmlns:a16="http://schemas.microsoft.com/office/drawing/2014/main" id="{0B6EF2B5-1B02-49F2-A19B-6D7309FE0321}"/>
            </a:ext>
          </a:extLst>
        </xdr:cNvPr>
        <xdr:cNvSpPr/>
      </xdr:nvSpPr>
      <xdr:spPr>
        <a:xfrm>
          <a:off x="3340100" y="2203450"/>
          <a:ext cx="2584450" cy="1485900"/>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oneCellAnchor>
    <xdr:from>
      <xdr:col>4</xdr:col>
      <xdr:colOff>25400</xdr:colOff>
      <xdr:row>1</xdr:row>
      <xdr:rowOff>31750</xdr:rowOff>
    </xdr:from>
    <xdr:ext cx="2863850" cy="342786"/>
    <xdr:sp macro="" textlink="">
      <xdr:nvSpPr>
        <xdr:cNvPr id="6" name="TextBox 5">
          <a:extLst>
            <a:ext uri="{FF2B5EF4-FFF2-40B4-BE49-F238E27FC236}">
              <a16:creationId xmlns:a16="http://schemas.microsoft.com/office/drawing/2014/main" id="{EFF0CD12-8C43-011C-5883-682416378A2E}"/>
            </a:ext>
          </a:extLst>
        </xdr:cNvPr>
        <xdr:cNvSpPr txBox="1"/>
      </xdr:nvSpPr>
      <xdr:spPr>
        <a:xfrm>
          <a:off x="2463800" y="215900"/>
          <a:ext cx="286385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600">
              <a:solidFill>
                <a:schemeClr val="bg1"/>
              </a:solidFill>
            </a:rPr>
            <a:t>HIGH PUBLIC HEALTH RISK</a:t>
          </a:r>
        </a:p>
      </xdr:txBody>
    </xdr:sp>
    <xdr:clientData/>
  </xdr:oneCellAnchor>
  <xdr:oneCellAnchor>
    <xdr:from>
      <xdr:col>5</xdr:col>
      <xdr:colOff>444500</xdr:colOff>
      <xdr:row>4</xdr:row>
      <xdr:rowOff>171451</xdr:rowOff>
    </xdr:from>
    <xdr:ext cx="1549400" cy="280205"/>
    <xdr:sp macro="" textlink="">
      <xdr:nvSpPr>
        <xdr:cNvPr id="8" name="TextBox 7">
          <a:extLst>
            <a:ext uri="{FF2B5EF4-FFF2-40B4-BE49-F238E27FC236}">
              <a16:creationId xmlns:a16="http://schemas.microsoft.com/office/drawing/2014/main" id="{80E460E7-6D00-4765-B78D-C47801D9651A}"/>
            </a:ext>
          </a:extLst>
        </xdr:cNvPr>
        <xdr:cNvSpPr txBox="1"/>
      </xdr:nvSpPr>
      <xdr:spPr>
        <a:xfrm>
          <a:off x="3492500" y="908051"/>
          <a:ext cx="15494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HIGH  PRIORITY </a:t>
          </a:r>
        </a:p>
      </xdr:txBody>
    </xdr:sp>
    <xdr:clientData/>
  </xdr:oneCellAnchor>
  <xdr:oneCellAnchor>
    <xdr:from>
      <xdr:col>2</xdr:col>
      <xdr:colOff>133350</xdr:colOff>
      <xdr:row>4</xdr:row>
      <xdr:rowOff>76200</xdr:rowOff>
    </xdr:from>
    <xdr:ext cx="1384482" cy="280205"/>
    <xdr:sp macro="" textlink="">
      <xdr:nvSpPr>
        <xdr:cNvPr id="9" name="TextBox 8">
          <a:extLst>
            <a:ext uri="{FF2B5EF4-FFF2-40B4-BE49-F238E27FC236}">
              <a16:creationId xmlns:a16="http://schemas.microsoft.com/office/drawing/2014/main" id="{56DC0D8A-EDF3-4952-B426-60425484E036}"/>
            </a:ext>
          </a:extLst>
        </xdr:cNvPr>
        <xdr:cNvSpPr txBox="1"/>
      </xdr:nvSpPr>
      <xdr:spPr>
        <a:xfrm>
          <a:off x="1352550" y="812800"/>
          <a:ext cx="138448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CRITICAL PRIORITY </a:t>
          </a:r>
        </a:p>
      </xdr:txBody>
    </xdr:sp>
    <xdr:clientData/>
  </xdr:oneCellAnchor>
  <xdr:oneCellAnchor>
    <xdr:from>
      <xdr:col>2</xdr:col>
      <xdr:colOff>107950</xdr:colOff>
      <xdr:row>6</xdr:row>
      <xdr:rowOff>57151</xdr:rowOff>
    </xdr:from>
    <xdr:ext cx="1238249" cy="1015999"/>
    <xdr:sp macro="" textlink="">
      <xdr:nvSpPr>
        <xdr:cNvPr id="10" name="TextBox 9">
          <a:extLst>
            <a:ext uri="{FF2B5EF4-FFF2-40B4-BE49-F238E27FC236}">
              <a16:creationId xmlns:a16="http://schemas.microsoft.com/office/drawing/2014/main" id="{C898B1DB-9004-4753-8373-50DFBCFF6D98}"/>
            </a:ext>
          </a:extLst>
        </xdr:cNvPr>
        <xdr:cNvSpPr txBox="1"/>
      </xdr:nvSpPr>
      <xdr:spPr>
        <a:xfrm>
          <a:off x="1327150" y="1162051"/>
          <a:ext cx="1238249" cy="1015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a:solidFill>
                <a:schemeClr val="bg1"/>
              </a:solidFill>
            </a:rPr>
            <a:t>Cambodia                  Laos             </a:t>
          </a:r>
        </a:p>
        <a:p>
          <a:r>
            <a:rPr lang="en-GB" sz="1200">
              <a:solidFill>
                <a:schemeClr val="bg1"/>
              </a:solidFill>
            </a:rPr>
            <a:t>  Myanmar </a:t>
          </a:r>
        </a:p>
        <a:p>
          <a:endParaRPr lang="en-GB" sz="1100"/>
        </a:p>
      </xdr:txBody>
    </xdr:sp>
    <xdr:clientData/>
  </xdr:oneCellAnchor>
  <xdr:oneCellAnchor>
    <xdr:from>
      <xdr:col>5</xdr:col>
      <xdr:colOff>603250</xdr:colOff>
      <xdr:row>8</xdr:row>
      <xdr:rowOff>19050</xdr:rowOff>
    </xdr:from>
    <xdr:ext cx="865686" cy="828175"/>
    <xdr:sp macro="" textlink="">
      <xdr:nvSpPr>
        <xdr:cNvPr id="11" name="TextBox 10">
          <a:extLst>
            <a:ext uri="{FF2B5EF4-FFF2-40B4-BE49-F238E27FC236}">
              <a16:creationId xmlns:a16="http://schemas.microsoft.com/office/drawing/2014/main" id="{02714533-6345-48D4-864F-2223DFD9B44A}"/>
            </a:ext>
          </a:extLst>
        </xdr:cNvPr>
        <xdr:cNvSpPr txBox="1"/>
      </xdr:nvSpPr>
      <xdr:spPr>
        <a:xfrm>
          <a:off x="3651250" y="1492250"/>
          <a:ext cx="865686" cy="82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Indonesia </a:t>
          </a:r>
        </a:p>
        <a:p>
          <a:r>
            <a:rPr lang="en-GB" sz="1200">
              <a:solidFill>
                <a:schemeClr val="bg1"/>
              </a:solidFill>
            </a:rPr>
            <a:t>           </a:t>
          </a:r>
        </a:p>
        <a:p>
          <a:r>
            <a:rPr lang="en-GB" sz="1200">
              <a:solidFill>
                <a:schemeClr val="bg1"/>
              </a:solidFill>
            </a:rPr>
            <a:t>Philippines</a:t>
          </a:r>
        </a:p>
        <a:p>
          <a:endParaRPr lang="en-GB" sz="1100"/>
        </a:p>
      </xdr:txBody>
    </xdr:sp>
    <xdr:clientData/>
  </xdr:oneCellAnchor>
  <xdr:oneCellAnchor>
    <xdr:from>
      <xdr:col>1</xdr:col>
      <xdr:colOff>520700</xdr:colOff>
      <xdr:row>13</xdr:row>
      <xdr:rowOff>44450</xdr:rowOff>
    </xdr:from>
    <xdr:ext cx="851515" cy="280205"/>
    <xdr:sp macro="" textlink="">
      <xdr:nvSpPr>
        <xdr:cNvPr id="12" name="TextBox 11">
          <a:extLst>
            <a:ext uri="{FF2B5EF4-FFF2-40B4-BE49-F238E27FC236}">
              <a16:creationId xmlns:a16="http://schemas.microsoft.com/office/drawing/2014/main" id="{02447DA8-63AF-4704-B071-3420A6DB4165}"/>
            </a:ext>
          </a:extLst>
        </xdr:cNvPr>
        <xdr:cNvSpPr txBox="1"/>
      </xdr:nvSpPr>
      <xdr:spPr>
        <a:xfrm>
          <a:off x="1130300" y="2438400"/>
          <a:ext cx="85151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MONITOR </a:t>
          </a:r>
        </a:p>
      </xdr:txBody>
    </xdr:sp>
    <xdr:clientData/>
  </xdr:oneCellAnchor>
  <xdr:oneCellAnchor>
    <xdr:from>
      <xdr:col>1</xdr:col>
      <xdr:colOff>577850</xdr:colOff>
      <xdr:row>15</xdr:row>
      <xdr:rowOff>19050</xdr:rowOff>
    </xdr:from>
    <xdr:ext cx="817403" cy="828175"/>
    <xdr:sp macro="" textlink="">
      <xdr:nvSpPr>
        <xdr:cNvPr id="13" name="TextBox 12">
          <a:extLst>
            <a:ext uri="{FF2B5EF4-FFF2-40B4-BE49-F238E27FC236}">
              <a16:creationId xmlns:a16="http://schemas.microsoft.com/office/drawing/2014/main" id="{21DF6F72-4B5E-41D6-8B7F-745F185A4B66}"/>
            </a:ext>
          </a:extLst>
        </xdr:cNvPr>
        <xdr:cNvSpPr txBox="1"/>
      </xdr:nvSpPr>
      <xdr:spPr>
        <a:xfrm>
          <a:off x="1187450" y="2781300"/>
          <a:ext cx="817403" cy="82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Vietnam   </a:t>
          </a:r>
        </a:p>
        <a:p>
          <a:r>
            <a:rPr lang="en-GB" sz="1200">
              <a:solidFill>
                <a:schemeClr val="bg1"/>
              </a:solidFill>
            </a:rPr>
            <a:t>   </a:t>
          </a:r>
        </a:p>
        <a:p>
          <a:r>
            <a:rPr lang="en-GB" sz="1200">
              <a:solidFill>
                <a:schemeClr val="bg1"/>
              </a:solidFill>
            </a:rPr>
            <a:t>Thailand </a:t>
          </a:r>
        </a:p>
        <a:p>
          <a:endParaRPr lang="en-GB" sz="1100"/>
        </a:p>
      </xdr:txBody>
    </xdr:sp>
    <xdr:clientData/>
  </xdr:oneCellAnchor>
  <xdr:oneCellAnchor>
    <xdr:from>
      <xdr:col>5</xdr:col>
      <xdr:colOff>565150</xdr:colOff>
      <xdr:row>12</xdr:row>
      <xdr:rowOff>127000</xdr:rowOff>
    </xdr:from>
    <xdr:ext cx="1254959" cy="280205"/>
    <xdr:sp macro="" textlink="">
      <xdr:nvSpPr>
        <xdr:cNvPr id="14" name="TextBox 13">
          <a:extLst>
            <a:ext uri="{FF2B5EF4-FFF2-40B4-BE49-F238E27FC236}">
              <a16:creationId xmlns:a16="http://schemas.microsoft.com/office/drawing/2014/main" id="{2DCFFE27-4BA6-4B8B-908F-6AD8B159D4E6}"/>
            </a:ext>
          </a:extLst>
        </xdr:cNvPr>
        <xdr:cNvSpPr txBox="1"/>
      </xdr:nvSpPr>
      <xdr:spPr>
        <a:xfrm>
          <a:off x="3613150" y="2336800"/>
          <a:ext cx="125495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STRATEGIC HUBS</a:t>
          </a:r>
        </a:p>
      </xdr:txBody>
    </xdr:sp>
    <xdr:clientData/>
  </xdr:oneCellAnchor>
  <xdr:oneCellAnchor>
    <xdr:from>
      <xdr:col>6</xdr:col>
      <xdr:colOff>120650</xdr:colOff>
      <xdr:row>14</xdr:row>
      <xdr:rowOff>107950</xdr:rowOff>
    </xdr:from>
    <xdr:ext cx="1227837" cy="828175"/>
    <xdr:sp macro="" textlink="">
      <xdr:nvSpPr>
        <xdr:cNvPr id="15" name="TextBox 14">
          <a:extLst>
            <a:ext uri="{FF2B5EF4-FFF2-40B4-BE49-F238E27FC236}">
              <a16:creationId xmlns:a16="http://schemas.microsoft.com/office/drawing/2014/main" id="{4707AB25-32A4-4C00-B0EF-F031C431FD68}"/>
            </a:ext>
          </a:extLst>
        </xdr:cNvPr>
        <xdr:cNvSpPr txBox="1"/>
      </xdr:nvSpPr>
      <xdr:spPr>
        <a:xfrm>
          <a:off x="3778250" y="2686050"/>
          <a:ext cx="1227837" cy="82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1200">
              <a:solidFill>
                <a:schemeClr val="bg1"/>
              </a:solidFill>
            </a:rPr>
            <a:t>Singapore            </a:t>
          </a:r>
        </a:p>
        <a:p>
          <a:r>
            <a:rPr lang="en-GB" sz="1200">
              <a:solidFill>
                <a:schemeClr val="bg1"/>
              </a:solidFill>
            </a:rPr>
            <a:t>   Malaysia </a:t>
          </a:r>
        </a:p>
        <a:p>
          <a:r>
            <a:rPr lang="en-GB" sz="1200">
              <a:solidFill>
                <a:schemeClr val="bg1"/>
              </a:solidFill>
            </a:rPr>
            <a:t> Brunei </a:t>
          </a:r>
        </a:p>
        <a:p>
          <a:endParaRPr lang="en-GB" sz="1100"/>
        </a:p>
      </xdr:txBody>
    </xdr:sp>
    <xdr:clientData/>
  </xdr:oneCellAnchor>
  <xdr:oneCellAnchor>
    <xdr:from>
      <xdr:col>3</xdr:col>
      <xdr:colOff>514350</xdr:colOff>
      <xdr:row>20</xdr:row>
      <xdr:rowOff>44451</xdr:rowOff>
    </xdr:from>
    <xdr:ext cx="3130550" cy="280205"/>
    <xdr:sp macro="" textlink="">
      <xdr:nvSpPr>
        <xdr:cNvPr id="17" name="TextBox 16">
          <a:extLst>
            <a:ext uri="{FF2B5EF4-FFF2-40B4-BE49-F238E27FC236}">
              <a16:creationId xmlns:a16="http://schemas.microsoft.com/office/drawing/2014/main" id="{24AF0F8A-265E-4605-98AD-7411AE599124}"/>
            </a:ext>
          </a:extLst>
        </xdr:cNvPr>
        <xdr:cNvSpPr txBox="1"/>
      </xdr:nvSpPr>
      <xdr:spPr>
        <a:xfrm>
          <a:off x="2343150" y="3727451"/>
          <a:ext cx="31305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200">
              <a:solidFill>
                <a:schemeClr val="bg1"/>
              </a:solidFill>
            </a:rPr>
            <a:t>LOW ← READINESS → HIGH</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550192</xdr:colOff>
      <xdr:row>14</xdr:row>
      <xdr:rowOff>109348</xdr:rowOff>
    </xdr:from>
    <xdr:to>
      <xdr:col>12</xdr:col>
      <xdr:colOff>207014</xdr:colOff>
      <xdr:row>31</xdr:row>
      <xdr:rowOff>37640</xdr:rowOff>
    </xdr:to>
    <xdr:sp macro="" textlink="">
      <xdr:nvSpPr>
        <xdr:cNvPr id="30" name="Rectangle 29">
          <a:extLst>
            <a:ext uri="{FF2B5EF4-FFF2-40B4-BE49-F238E27FC236}">
              <a16:creationId xmlns:a16="http://schemas.microsoft.com/office/drawing/2014/main" id="{0C59B140-9DE5-4212-830E-3A35AF7EF602}"/>
            </a:ext>
          </a:extLst>
        </xdr:cNvPr>
        <xdr:cNvSpPr/>
      </xdr:nvSpPr>
      <xdr:spPr>
        <a:xfrm>
          <a:off x="1765763" y="2649348"/>
          <a:ext cx="5734680" cy="3012578"/>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40776</xdr:colOff>
      <xdr:row>13</xdr:row>
      <xdr:rowOff>87823</xdr:rowOff>
    </xdr:from>
    <xdr:to>
      <xdr:col>22</xdr:col>
      <xdr:colOff>222749</xdr:colOff>
      <xdr:row>34</xdr:row>
      <xdr:rowOff>129824</xdr:rowOff>
    </xdr:to>
    <xdr:sp macro="" textlink="">
      <xdr:nvSpPr>
        <xdr:cNvPr id="31" name="Rectangle 30">
          <a:extLst>
            <a:ext uri="{FF2B5EF4-FFF2-40B4-BE49-F238E27FC236}">
              <a16:creationId xmlns:a16="http://schemas.microsoft.com/office/drawing/2014/main" id="{D8415CD9-76E6-4E02-8892-E978A7A03EA9}"/>
            </a:ext>
          </a:extLst>
        </xdr:cNvPr>
        <xdr:cNvSpPr/>
      </xdr:nvSpPr>
      <xdr:spPr>
        <a:xfrm>
          <a:off x="7334205" y="2446394"/>
          <a:ext cx="6259830" cy="3852001"/>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99786</xdr:colOff>
      <xdr:row>3</xdr:row>
      <xdr:rowOff>108857</xdr:rowOff>
    </xdr:from>
    <xdr:to>
      <xdr:col>29</xdr:col>
      <xdr:colOff>220837</xdr:colOff>
      <xdr:row>83</xdr:row>
      <xdr:rowOff>17515</xdr:rowOff>
    </xdr:to>
    <xdr:sp macro="" textlink="">
      <xdr:nvSpPr>
        <xdr:cNvPr id="32" name="Rectangle 31">
          <a:extLst>
            <a:ext uri="{FF2B5EF4-FFF2-40B4-BE49-F238E27FC236}">
              <a16:creationId xmlns:a16="http://schemas.microsoft.com/office/drawing/2014/main" id="{8F7CF130-EAF2-4B45-954E-4EA1E88F31EF}"/>
            </a:ext>
          </a:extLst>
        </xdr:cNvPr>
        <xdr:cNvSpPr/>
      </xdr:nvSpPr>
      <xdr:spPr>
        <a:xfrm>
          <a:off x="99786" y="653143"/>
          <a:ext cx="17746837" cy="14422943"/>
        </a:xfrm>
        <a:prstGeom prst="rect">
          <a:avLst/>
        </a:prstGeom>
        <a:solidFill>
          <a:srgbClr val="002060"/>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GB" sz="1100"/>
        </a:p>
      </xdr:txBody>
    </xdr:sp>
    <xdr:clientData/>
  </xdr:twoCellAnchor>
  <xdr:oneCellAnchor>
    <xdr:from>
      <xdr:col>3</xdr:col>
      <xdr:colOff>310999</xdr:colOff>
      <xdr:row>7</xdr:row>
      <xdr:rowOff>174831</xdr:rowOff>
    </xdr:from>
    <xdr:ext cx="184731" cy="280205"/>
    <xdr:sp macro="" textlink="">
      <xdr:nvSpPr>
        <xdr:cNvPr id="39" name="TextBox 38">
          <a:extLst>
            <a:ext uri="{FF2B5EF4-FFF2-40B4-BE49-F238E27FC236}">
              <a16:creationId xmlns:a16="http://schemas.microsoft.com/office/drawing/2014/main" id="{AA51B33A-7058-4A3D-A03C-708A7A481DD7}"/>
            </a:ext>
          </a:extLst>
        </xdr:cNvPr>
        <xdr:cNvSpPr txBox="1"/>
      </xdr:nvSpPr>
      <xdr:spPr>
        <a:xfrm>
          <a:off x="2134356" y="1444831"/>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200">
            <a:solidFill>
              <a:schemeClr val="bg1"/>
            </a:solidFill>
          </a:endParaRPr>
        </a:p>
      </xdr:txBody>
    </xdr:sp>
    <xdr:clientData/>
  </xdr:oneCellAnchor>
  <xdr:oneCellAnchor>
    <xdr:from>
      <xdr:col>6</xdr:col>
      <xdr:colOff>494953</xdr:colOff>
      <xdr:row>7</xdr:row>
      <xdr:rowOff>94914</xdr:rowOff>
    </xdr:from>
    <xdr:ext cx="1559003" cy="280205"/>
    <xdr:sp macro="" textlink="">
      <xdr:nvSpPr>
        <xdr:cNvPr id="40" name="TextBox 39">
          <a:extLst>
            <a:ext uri="{FF2B5EF4-FFF2-40B4-BE49-F238E27FC236}">
              <a16:creationId xmlns:a16="http://schemas.microsoft.com/office/drawing/2014/main" id="{5D80393F-C3D7-452E-906B-1C7052432799}"/>
            </a:ext>
          </a:extLst>
        </xdr:cNvPr>
        <xdr:cNvSpPr txBox="1"/>
      </xdr:nvSpPr>
      <xdr:spPr>
        <a:xfrm>
          <a:off x="4141667" y="1364914"/>
          <a:ext cx="155900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10</xdr:col>
      <xdr:colOff>369344</xdr:colOff>
      <xdr:row>7</xdr:row>
      <xdr:rowOff>107923</xdr:rowOff>
    </xdr:from>
    <xdr:ext cx="1499530" cy="314713"/>
    <xdr:sp macro="" textlink="">
      <xdr:nvSpPr>
        <xdr:cNvPr id="41" name="TextBox 40">
          <a:extLst>
            <a:ext uri="{FF2B5EF4-FFF2-40B4-BE49-F238E27FC236}">
              <a16:creationId xmlns:a16="http://schemas.microsoft.com/office/drawing/2014/main" id="{DB211C9D-EB9E-47AE-BCC7-49B575D4F6A1}"/>
            </a:ext>
          </a:extLst>
        </xdr:cNvPr>
        <xdr:cNvSpPr txBox="1"/>
      </xdr:nvSpPr>
      <xdr:spPr>
        <a:xfrm>
          <a:off x="6447201" y="1377923"/>
          <a:ext cx="1499530" cy="3147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13</xdr:col>
      <xdr:colOff>499091</xdr:colOff>
      <xdr:row>7</xdr:row>
      <xdr:rowOff>58982</xdr:rowOff>
    </xdr:from>
    <xdr:ext cx="1594936" cy="293959"/>
    <xdr:sp macro="" textlink="">
      <xdr:nvSpPr>
        <xdr:cNvPr id="42" name="TextBox 41">
          <a:extLst>
            <a:ext uri="{FF2B5EF4-FFF2-40B4-BE49-F238E27FC236}">
              <a16:creationId xmlns:a16="http://schemas.microsoft.com/office/drawing/2014/main" id="{2A184039-7FCC-498C-BCC1-AAAD3E773CD5}"/>
            </a:ext>
          </a:extLst>
        </xdr:cNvPr>
        <xdr:cNvSpPr txBox="1"/>
      </xdr:nvSpPr>
      <xdr:spPr>
        <a:xfrm>
          <a:off x="8400305" y="1328982"/>
          <a:ext cx="1594936" cy="2939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16</xdr:col>
      <xdr:colOff>103208</xdr:colOff>
      <xdr:row>7</xdr:row>
      <xdr:rowOff>158485</xdr:rowOff>
    </xdr:from>
    <xdr:ext cx="184731" cy="280205"/>
    <xdr:sp macro="" textlink="">
      <xdr:nvSpPr>
        <xdr:cNvPr id="43" name="TextBox 42">
          <a:extLst>
            <a:ext uri="{FF2B5EF4-FFF2-40B4-BE49-F238E27FC236}">
              <a16:creationId xmlns:a16="http://schemas.microsoft.com/office/drawing/2014/main" id="{3868C1BF-4CDE-44F6-B2D4-AF17E7EF0DA1}"/>
            </a:ext>
          </a:extLst>
        </xdr:cNvPr>
        <xdr:cNvSpPr txBox="1"/>
      </xdr:nvSpPr>
      <xdr:spPr>
        <a:xfrm>
          <a:off x="9827779" y="1428485"/>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200">
            <a:solidFill>
              <a:schemeClr val="bg1"/>
            </a:solidFill>
          </a:endParaRPr>
        </a:p>
      </xdr:txBody>
    </xdr:sp>
    <xdr:clientData/>
  </xdr:oneCellAnchor>
  <xdr:oneCellAnchor>
    <xdr:from>
      <xdr:col>7</xdr:col>
      <xdr:colOff>177956</xdr:colOff>
      <xdr:row>7</xdr:row>
      <xdr:rowOff>157174</xdr:rowOff>
    </xdr:from>
    <xdr:ext cx="1594936" cy="280205"/>
    <xdr:sp macro="" textlink="">
      <xdr:nvSpPr>
        <xdr:cNvPr id="45" name="TextBox 44">
          <a:extLst>
            <a:ext uri="{FF2B5EF4-FFF2-40B4-BE49-F238E27FC236}">
              <a16:creationId xmlns:a16="http://schemas.microsoft.com/office/drawing/2014/main" id="{5C99A4EF-4816-43DB-A196-29CC68D1E54A}"/>
            </a:ext>
          </a:extLst>
        </xdr:cNvPr>
        <xdr:cNvSpPr txBox="1"/>
      </xdr:nvSpPr>
      <xdr:spPr>
        <a:xfrm>
          <a:off x="4432456" y="1427174"/>
          <a:ext cx="15949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7</xdr:col>
      <xdr:colOff>420686</xdr:colOff>
      <xdr:row>4</xdr:row>
      <xdr:rowOff>86471</xdr:rowOff>
    </xdr:from>
    <xdr:ext cx="4117257" cy="542823"/>
    <xdr:sp macro="" textlink="'PIVOT '!A82">
      <xdr:nvSpPr>
        <xdr:cNvPr id="55" name="TextBox 54">
          <a:extLst>
            <a:ext uri="{FF2B5EF4-FFF2-40B4-BE49-F238E27FC236}">
              <a16:creationId xmlns:a16="http://schemas.microsoft.com/office/drawing/2014/main" id="{A7695EA8-4CAF-42DA-9C7A-98A7970187D2}"/>
            </a:ext>
          </a:extLst>
        </xdr:cNvPr>
        <xdr:cNvSpPr txBox="1"/>
      </xdr:nvSpPr>
      <xdr:spPr>
        <a:xfrm>
          <a:off x="4675186" y="812185"/>
          <a:ext cx="4117257" cy="542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a:solidFill>
                <a:schemeClr val="bg1"/>
              </a:solidFill>
            </a:rPr>
            <a:t>RECOMMENDATIONS</a:t>
          </a:r>
          <a:r>
            <a:rPr lang="en-GB" sz="1600" baseline="0">
              <a:solidFill>
                <a:schemeClr val="bg1"/>
              </a:solidFill>
            </a:rPr>
            <a:t> </a:t>
          </a:r>
          <a:endParaRPr lang="en-GB" sz="1600">
            <a:solidFill>
              <a:schemeClr val="bg1"/>
            </a:solidFill>
          </a:endParaRPr>
        </a:p>
      </xdr:txBody>
    </xdr:sp>
    <xdr:clientData/>
  </xdr:oneCellAnchor>
  <xdr:oneCellAnchor>
    <xdr:from>
      <xdr:col>19</xdr:col>
      <xdr:colOff>318602</xdr:colOff>
      <xdr:row>7</xdr:row>
      <xdr:rowOff>149899</xdr:rowOff>
    </xdr:from>
    <xdr:ext cx="184731" cy="280205"/>
    <xdr:sp macro="" textlink="">
      <xdr:nvSpPr>
        <xdr:cNvPr id="57" name="TextBox 56">
          <a:extLst>
            <a:ext uri="{FF2B5EF4-FFF2-40B4-BE49-F238E27FC236}">
              <a16:creationId xmlns:a16="http://schemas.microsoft.com/office/drawing/2014/main" id="{729DAA4D-3BF9-4B33-9E17-643E190CA9FC}"/>
            </a:ext>
          </a:extLst>
        </xdr:cNvPr>
        <xdr:cNvSpPr txBox="1"/>
      </xdr:nvSpPr>
      <xdr:spPr>
        <a:xfrm>
          <a:off x="11866531" y="1419899"/>
          <a:ext cx="18473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GB" sz="1200">
            <a:solidFill>
              <a:schemeClr val="bg1"/>
            </a:solidFill>
          </a:endParaRPr>
        </a:p>
      </xdr:txBody>
    </xdr:sp>
    <xdr:clientData/>
  </xdr:oneCellAnchor>
  <xdr:oneCellAnchor>
    <xdr:from>
      <xdr:col>20</xdr:col>
      <xdr:colOff>545589</xdr:colOff>
      <xdr:row>14</xdr:row>
      <xdr:rowOff>82280</xdr:rowOff>
    </xdr:from>
    <xdr:ext cx="1499530" cy="280205"/>
    <xdr:sp macro="" textlink="'PIVOT '!A82">
      <xdr:nvSpPr>
        <xdr:cNvPr id="61" name="TextBox 60">
          <a:extLst>
            <a:ext uri="{FF2B5EF4-FFF2-40B4-BE49-F238E27FC236}">
              <a16:creationId xmlns:a16="http://schemas.microsoft.com/office/drawing/2014/main" id="{95EDDA5C-ACF4-400F-9259-4BEBBFA34A16}"/>
            </a:ext>
          </a:extLst>
        </xdr:cNvPr>
        <xdr:cNvSpPr txBox="1"/>
      </xdr:nvSpPr>
      <xdr:spPr>
        <a:xfrm>
          <a:off x="12701303" y="2622280"/>
          <a:ext cx="149953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200">
            <a:solidFill>
              <a:schemeClr val="bg1"/>
            </a:solidFill>
          </a:endParaRPr>
        </a:p>
      </xdr:txBody>
    </xdr:sp>
    <xdr:clientData/>
  </xdr:oneCellAnchor>
  <xdr:oneCellAnchor>
    <xdr:from>
      <xdr:col>3</xdr:col>
      <xdr:colOff>399143</xdr:colOff>
      <xdr:row>9</xdr:row>
      <xdr:rowOff>163286</xdr:rowOff>
    </xdr:from>
    <xdr:ext cx="9788072" cy="1578428"/>
    <xdr:sp macro="" textlink="'PIVOT '!A82">
      <xdr:nvSpPr>
        <xdr:cNvPr id="66" name="TextBox 65">
          <a:extLst>
            <a:ext uri="{FF2B5EF4-FFF2-40B4-BE49-F238E27FC236}">
              <a16:creationId xmlns:a16="http://schemas.microsoft.com/office/drawing/2014/main" id="{CBB84DD4-F847-4463-BD2F-B0C6F9010AB9}"/>
            </a:ext>
          </a:extLst>
        </xdr:cNvPr>
        <xdr:cNvSpPr txBox="1"/>
      </xdr:nvSpPr>
      <xdr:spPr>
        <a:xfrm>
          <a:off x="2222500" y="1796143"/>
          <a:ext cx="9788072" cy="1578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a:solidFill>
                <a:schemeClr val="bg1"/>
              </a:solidFill>
            </a:rPr>
            <a:t>Analysis of ASEAN health indicators reveals that Cambodia, Laos, and Myanmar consistently rank among the highest-risk countries due to elevated maternal mortality, child mortality, communicable disease burden, malnutrition, and workforce shortages. Conversely, Singapore, Malaysia, and Brunei demonstrate stronger health outcomes and system capacity. This evidence supports a phased ADHCRI deployment strategy prioritizing the highest-risk countries while leveraging advanced nations as governance and innovation hubs.</a:t>
          </a:r>
        </a:p>
      </xdr:txBody>
    </xdr:sp>
    <xdr:clientData/>
  </xdr:oneCellAnchor>
  <xdr:oneCellAnchor>
    <xdr:from>
      <xdr:col>3</xdr:col>
      <xdr:colOff>270330</xdr:colOff>
      <xdr:row>18</xdr:row>
      <xdr:rowOff>25399</xdr:rowOff>
    </xdr:from>
    <xdr:ext cx="9788072" cy="1578428"/>
    <xdr:sp macro="" textlink="'PIVOT '!A82">
      <xdr:nvSpPr>
        <xdr:cNvPr id="67" name="TextBox 66">
          <a:extLst>
            <a:ext uri="{FF2B5EF4-FFF2-40B4-BE49-F238E27FC236}">
              <a16:creationId xmlns:a16="http://schemas.microsoft.com/office/drawing/2014/main" id="{94CB1D7E-45DE-4A64-9147-A35F6C43F242}"/>
            </a:ext>
          </a:extLst>
        </xdr:cNvPr>
        <xdr:cNvSpPr txBox="1"/>
      </xdr:nvSpPr>
      <xdr:spPr>
        <a:xfrm>
          <a:off x="2093687" y="3291113"/>
          <a:ext cx="9788072" cy="1578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200">
              <a:solidFill>
                <a:schemeClr val="bg1"/>
              </a:solidFill>
            </a:rPr>
            <a:t>The evidence across malnutrition, undernourishment, child mortality, and tuberculosis data confirms that ASEAN continues to face significant health inequalities and preventable public health risk. ADHCRI transforms fragmented health reporting into a single AI-powered regional intelligence system capable of predicting outbreaks, identifying vulnerable communities, optimizing healthcare resources, and supporting climate-resilient decision-making. Aligned directly with SDG 3, SDG 10, and SDG 17, ADHCRI offers a scalable platform for improving health outcomes for more than 660 million ASEAN citizens — with economic viability strengthening substantially as deployment matures beyond the initial five-year investment horizon modeled in this Business Case.</a:t>
          </a:r>
        </a:p>
      </xdr:txBody>
    </xdr:sp>
    <xdr:clientData/>
  </xdr:oneCellAnchor>
  <xdr:oneCellAnchor>
    <xdr:from>
      <xdr:col>3</xdr:col>
      <xdr:colOff>223157</xdr:colOff>
      <xdr:row>28</xdr:row>
      <xdr:rowOff>14513</xdr:rowOff>
    </xdr:from>
    <xdr:ext cx="9788072" cy="1578428"/>
    <xdr:sp macro="" textlink="'PIVOT '!A82">
      <xdr:nvSpPr>
        <xdr:cNvPr id="2" name="TextBox 1">
          <a:extLst>
            <a:ext uri="{FF2B5EF4-FFF2-40B4-BE49-F238E27FC236}">
              <a16:creationId xmlns:a16="http://schemas.microsoft.com/office/drawing/2014/main" id="{8FFC420C-E6A3-47CA-B3B5-44AB91D0950B}"/>
            </a:ext>
          </a:extLst>
        </xdr:cNvPr>
        <xdr:cNvSpPr txBox="1"/>
      </xdr:nvSpPr>
      <xdr:spPr>
        <a:xfrm>
          <a:off x="2046514" y="5094513"/>
          <a:ext cx="9788072" cy="1578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400" b="0" i="0">
              <a:solidFill>
                <a:schemeClr val="bg1"/>
              </a:solidFill>
              <a:effectLst/>
              <a:latin typeface="+mn-lt"/>
              <a:ea typeface="+mn-ea"/>
              <a:cs typeface="+mn-cs"/>
            </a:rPr>
            <a:t>Based on the analysis of ASEAN health indicators, workforce capacity, disease burden, healthcare investment, and public health outcomes, it is recommended that ASEAN member states proceed with the phased implementation of the </a:t>
          </a:r>
          <a:r>
            <a:rPr lang="en-GB" sz="1400" b="1" i="0">
              <a:solidFill>
                <a:schemeClr val="bg1"/>
              </a:solidFill>
              <a:effectLst/>
              <a:latin typeface="+mn-lt"/>
              <a:ea typeface="+mn-ea"/>
              <a:cs typeface="+mn-cs"/>
            </a:rPr>
            <a:t>ASEAN Digital Health &amp; Climate Resilience Intelligence Platform (ADHCRI).</a:t>
          </a:r>
          <a:endParaRPr lang="en-GB" sz="1400" b="0" i="0">
            <a:solidFill>
              <a:schemeClr val="bg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200" b="0" i="0">
              <a:solidFill>
                <a:schemeClr val="bg1"/>
              </a:solidFill>
              <a:effectLst/>
              <a:latin typeface="+mn-lt"/>
              <a:ea typeface="+mn-ea"/>
              <a:cs typeface="+mn-cs"/>
            </a:rPr>
            <a:t>The analysis identified significant regional disparities in maternal and child mortality, communicable disease prevalence, healthcare workforce availability, life expectancy, nutrition outcomes, and healthcare expenditure. Countries experiencing the highest disease burden and poorest health outcomes often demonstrate the lowest healthcare capacity and investment levels, highlighting the need for a coordinated and data-driven regional response.</a:t>
          </a:r>
        </a:p>
        <a:p>
          <a:endParaRPr lang="en-GB" sz="1600">
            <a:solidFill>
              <a:schemeClr val="bg1"/>
            </a:solidFill>
          </a:endParaRPr>
        </a:p>
      </xdr:txBody>
    </xdr:sp>
    <xdr:clientData/>
  </xdr:oneCellAnchor>
  <xdr:oneCellAnchor>
    <xdr:from>
      <xdr:col>2</xdr:col>
      <xdr:colOff>602342</xdr:colOff>
      <xdr:row>44</xdr:row>
      <xdr:rowOff>85270</xdr:rowOff>
    </xdr:from>
    <xdr:ext cx="9788072" cy="1578428"/>
    <xdr:sp macro="" textlink="'PIVOT '!A82">
      <xdr:nvSpPr>
        <xdr:cNvPr id="3" name="TextBox 2">
          <a:extLst>
            <a:ext uri="{FF2B5EF4-FFF2-40B4-BE49-F238E27FC236}">
              <a16:creationId xmlns:a16="http://schemas.microsoft.com/office/drawing/2014/main" id="{BCFD3CCF-C9AA-4EE0-82FC-BADFED62FFE9}"/>
            </a:ext>
          </a:extLst>
        </xdr:cNvPr>
        <xdr:cNvSpPr txBox="1"/>
      </xdr:nvSpPr>
      <xdr:spPr>
        <a:xfrm>
          <a:off x="1817913" y="8068127"/>
          <a:ext cx="9788072" cy="15784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200" b="0" i="0">
              <a:solidFill>
                <a:schemeClr val="bg1"/>
              </a:solidFill>
              <a:effectLst/>
              <a:latin typeface="+mn-lt"/>
              <a:ea typeface="+mn-ea"/>
              <a:cs typeface="+mn-cs"/>
            </a:rPr>
            <a:t>ADHCRI should be adopted as ASEAN's Health Intelligence and Climate Resilience Platform. By transforming fragmented health data into actionable intelligence, ADHCRI will enable ASEAN to move from reactive healthcare management to predictive, resilient, and equitable public health decision-making, improving health outcomes and strengthening healthcare systems for more than 660 million people across the region.</a:t>
          </a:r>
        </a:p>
        <a:p>
          <a:endParaRPr lang="en-GB" sz="1800">
            <a:solidFill>
              <a:schemeClr val="bg1"/>
            </a:solidFill>
          </a:endParaRPr>
        </a:p>
      </xdr:txBody>
    </xdr:sp>
    <xdr:clientData/>
  </xdr:oneCellAnchor>
  <xdr:oneCellAnchor>
    <xdr:from>
      <xdr:col>5</xdr:col>
      <xdr:colOff>128812</xdr:colOff>
      <xdr:row>41</xdr:row>
      <xdr:rowOff>29029</xdr:rowOff>
    </xdr:from>
    <xdr:ext cx="5069115" cy="751115"/>
    <xdr:sp macro="" textlink="'PIVOT '!A82">
      <xdr:nvSpPr>
        <xdr:cNvPr id="4" name="TextBox 3">
          <a:extLst>
            <a:ext uri="{FF2B5EF4-FFF2-40B4-BE49-F238E27FC236}">
              <a16:creationId xmlns:a16="http://schemas.microsoft.com/office/drawing/2014/main" id="{72F39C0C-2AB5-4FDF-8762-154FCF681208}"/>
            </a:ext>
          </a:extLst>
        </xdr:cNvPr>
        <xdr:cNvSpPr txBox="1"/>
      </xdr:nvSpPr>
      <xdr:spPr>
        <a:xfrm>
          <a:off x="3167741" y="7467600"/>
          <a:ext cx="5069115" cy="7511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GB" sz="1600">
              <a:solidFill>
                <a:schemeClr val="bg1"/>
              </a:solidFill>
            </a:rPr>
            <a:t>                                          CONCLUSION</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3.961001851851" createdVersion="8" refreshedVersion="8" minRefreshableVersion="3" recordCount="9" xr:uid="{EB78C02B-7CAD-40E0-8B27-B07CC2479D85}">
  <cacheSource type="worksheet">
    <worksheetSource name="Raw_Data_Cleaned"/>
  </cacheSource>
  <cacheFields count="20">
    <cacheField name="Country" numFmtId="0">
      <sharedItems count="9">
        <s v="Brunei"/>
        <s v="Cambodia"/>
        <s v="Indonesia"/>
        <s v="Lao Pdr"/>
        <s v="Malaysia"/>
        <s v="Myanmar"/>
        <s v="Philippines"/>
        <s v="Thailand"/>
        <s v="Vietnam"/>
      </sharedItems>
    </cacheField>
    <cacheField name="UnderweightChildren" numFmtId="0">
      <sharedItems containsSemiMixedTypes="0" containsString="0" containsNumber="1" minValue="9.1999999999999993" maxValue="29.1"/>
    </cacheField>
    <cacheField name="UndernourishedPopulation" numFmtId="0">
      <sharedItems containsSemiMixedTypes="0" containsString="0" containsNumber="1" minValue="5" maxValue="18.5"/>
    </cacheField>
    <cacheField name="Under5Mortality" numFmtId="0">
      <sharedItems containsSemiMixedTypes="0" containsString="0" containsNumber="1" minValue="8.6999999999999993" maxValue="64.3"/>
    </cacheField>
    <cacheField name="InfantMortality" numFmtId="0">
      <sharedItems containsSemiMixedTypes="0" containsString="0" containsNumber="1" minValue="6.6" maxValue="48.9"/>
    </cacheField>
    <cacheField name="MaternalMortality" numFmtId="0">
      <sharedItems containsSemiMixedTypes="0" containsString="0" containsNumber="1" containsInteger="1" minValue="26" maxValue="220"/>
    </cacheField>
    <cacheField name="CrudeDeathRatio" numFmtId="0">
      <sharedItems containsSemiMixedTypes="0" containsString="0" containsNumber="1" minValue="3.6" maxValue="8.5"/>
    </cacheField>
    <cacheField name="LifeExpMale" numFmtId="0">
      <sharedItems containsSemiMixedTypes="0" containsString="0" containsNumber="1" minValue="63.4" maxValue="75.900000000000006"/>
    </cacheField>
    <cacheField name="LifeExpFemale" numFmtId="0">
      <sharedItems containsSemiMixedTypes="0" containsString="0" containsNumber="1" minValue="68.900000000000006" maxValue="78.8"/>
    </cacheField>
    <cacheField name="TBPrevalence" numFmtId="0">
      <sharedItems containsSemiMixedTypes="0" containsString="0" containsNumber="1" containsInteger="1" minValue="101" maxValue="764"/>
    </cacheField>
    <cacheField name="MalariaPrevalence" numFmtId="0">
      <sharedItems containsString="0" containsBlank="1" containsNumber="1" minValue="4.0999999999999996" maxValue="407"/>
    </cacheField>
    <cacheField name="HIVPrevalence" numFmtId="0">
      <sharedItems containsString="0" containsBlank="1" containsNumber="1" minValue="0.1" maxValue="1.1000000000000001"/>
    </cacheField>
    <cacheField name="PhysicianDensity" numFmtId="0">
      <sharedItems containsSemiMixedTypes="0" containsString="0" containsNumber="1" minValue="0.16800000000000001" maxValue="1.47"/>
    </cacheField>
    <cacheField name="NurseMidwifeDensity" numFmtId="0">
      <sharedItems containsSemiMixedTypes="0" containsString="0" containsNumber="1" minValue="0.86199999999999999" maxValue="8.1950000000000003"/>
    </cacheField>
    <cacheField name="PharmaDensity" numFmtId="0">
      <sharedItems containsSemiMixedTypes="0" containsString="0" containsNumber="1" minValue="3.0000000000000001E-3" maxValue="0.88900000000000001"/>
    </cacheField>
    <cacheField name="DPTCoverage" numFmtId="0">
      <sharedItems containsSemiMixedTypes="0" containsString="0" containsNumber="1" containsInteger="1" minValue="86" maxValue="100"/>
    </cacheField>
    <cacheField name="HealthExpenditureUSDm" numFmtId="0">
      <sharedItems containsSemiMixedTypes="0" containsString="0" containsNumber="1" minValue="18.899999999999999" maxValue="1737.2"/>
    </cacheField>
    <cacheField name="HIVAIDSDeaths" numFmtId="0">
      <sharedItems containsString="0" containsBlank="1" containsNumber="1" containsInteger="1" minValue="500" maxValue="38000"/>
    </cacheField>
    <cacheField name="Life Expectancy" numFmtId="0">
      <sharedItems containsSemiMixedTypes="0" containsString="0" containsNumber="1" minValue="98.3" maxValue="115.30000000000001"/>
    </cacheField>
    <cacheField name="Asean Risk Score" numFmtId="0">
      <sharedItems containsString="0" containsBlank="1" containsNumber="1" minValue="33.625" maxValue="265.90999999999997"/>
    </cacheField>
  </cacheFields>
  <extLst>
    <ext xmlns:x14="http://schemas.microsoft.com/office/spreadsheetml/2009/9/main" uri="{725AE2AE-9491-48be-B2B4-4EB974FC3084}">
      <x14:pivotCacheDefinition pivotCacheId="392330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n v="29.1"/>
    <n v="5"/>
    <n v="8.6999999999999993"/>
    <n v="7.4"/>
    <n v="27"/>
    <n v="3.6"/>
    <n v="75.900000000000006"/>
    <n v="78.8"/>
    <n v="311"/>
    <m/>
    <m/>
    <n v="1.47"/>
    <n v="8.1950000000000003"/>
    <n v="0.41199999999999998"/>
    <n v="99"/>
    <n v="18.899999999999999"/>
    <m/>
    <n v="115.30000000000001"/>
    <m/>
  </r>
  <r>
    <x v="1"/>
    <n v="29"/>
    <n v="14.2"/>
    <n v="40"/>
    <n v="33"/>
    <n v="170"/>
    <n v="6"/>
    <n v="63.4"/>
    <n v="69.8"/>
    <n v="764"/>
    <n v="407"/>
    <n v="0.6"/>
    <n v="0.16800000000000001"/>
    <n v="0.95599999999999996"/>
    <n v="0.04"/>
    <n v="97"/>
    <n v="21.1"/>
    <n v="1800"/>
    <n v="98.3"/>
    <n v="265.90999999999997"/>
  </r>
  <r>
    <x v="2"/>
    <n v="19.899999999999999"/>
    <n v="7.6"/>
    <n v="40"/>
    <n v="27.2"/>
    <n v="190"/>
    <n v="6.2"/>
    <n v="67.7"/>
    <n v="71.099999999999994"/>
    <n v="297"/>
    <n v="39.799999999999997"/>
    <n v="0.4"/>
    <n v="0.20100000000000001"/>
    <n v="1.365"/>
    <n v="0.10299999999999999"/>
    <n v="91"/>
    <n v="1737.2"/>
    <n v="38000"/>
    <n v="103.25"/>
    <n v="120.34"/>
  </r>
  <r>
    <x v="3"/>
    <n v="26.5"/>
    <n v="18.5"/>
    <n v="64.3"/>
    <n v="48.9"/>
    <n v="220"/>
    <n v="7"/>
    <n v="66.5"/>
    <n v="68.900000000000006"/>
    <n v="514"/>
    <m/>
    <n v="0.3"/>
    <n v="0.17899999999999999"/>
    <n v="0.86199999999999999"/>
    <n v="0.114"/>
    <n v="89"/>
    <n v="25.2"/>
    <n v="500"/>
    <n v="100.95"/>
    <m/>
  </r>
  <r>
    <x v="4"/>
    <n v="12.9"/>
    <n v="5"/>
    <n v="9"/>
    <n v="6.6"/>
    <n v="29"/>
    <n v="4.7"/>
    <n v="72.7"/>
    <n v="77.400000000000006"/>
    <n v="101"/>
    <n v="23.5"/>
    <n v="0.4"/>
    <n v="1.2809999999999999"/>
    <n v="3.3969999999999998"/>
    <n v="0.434"/>
    <n v="93"/>
    <n v="367.2"/>
    <n v="7000"/>
    <n v="111.4"/>
    <n v="33.625"/>
  </r>
  <r>
    <x v="5"/>
    <n v="22.6"/>
    <n v="14.2"/>
    <n v="29.6"/>
    <n v="24.3"/>
    <n v="200"/>
    <n v="8.5"/>
    <n v="67.5"/>
    <n v="69.900000000000006"/>
    <n v="457"/>
    <n v="4.0999999999999996"/>
    <n v="0.8"/>
    <n v="0.56799999999999995"/>
    <n v="0.93"/>
    <n v="3.0000000000000001E-3"/>
    <n v="92"/>
    <n v="297.5"/>
    <n v="7800"/>
    <n v="102.45"/>
    <n v="149.215"/>
  </r>
  <r>
    <x v="6"/>
    <n v="19.899999999999999"/>
    <n v="13.5"/>
    <n v="25"/>
    <n v="20"/>
    <n v="120"/>
    <n v="6"/>
    <n v="65.400000000000006"/>
    <n v="72.2"/>
    <n v="461"/>
    <n v="9.8000000000000007"/>
    <n v="0.1"/>
    <n v="1.1100000000000001"/>
    <n v="5.774"/>
    <n v="0.88900000000000001"/>
    <n v="86"/>
    <n v="299.3"/>
    <n v="1000"/>
    <n v="101.5"/>
    <n v="129.67000000000002"/>
  </r>
  <r>
    <x v="7"/>
    <n v="9.1999999999999993"/>
    <n v="7.4"/>
    <n v="9"/>
    <n v="6.8"/>
    <n v="26"/>
    <n v="7.7"/>
    <n v="71.099999999999994"/>
    <n v="77.8"/>
    <n v="159"/>
    <n v="33"/>
    <n v="1.1000000000000001"/>
    <n v="0.39400000000000002"/>
    <n v="2.08"/>
    <n v="0.13"/>
    <n v="100"/>
    <n v="476.8"/>
    <n v="16000"/>
    <n v="110"/>
    <n v="45.640000000000008"/>
  </r>
  <r>
    <x v="8"/>
    <n v="12"/>
    <n v="11"/>
    <n v="22.4"/>
    <n v="14.9"/>
    <n v="49"/>
    <n v="6.9"/>
    <n v="70.599999999999994"/>
    <n v="76"/>
    <n v="218"/>
    <n v="51.6"/>
    <n v="0.4"/>
    <n v="1.18"/>
    <n v="1.226"/>
    <n v="0.31"/>
    <n v="95"/>
    <n v="914.5"/>
    <n v="8000"/>
    <n v="108.6"/>
    <n v="67.8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354FF6-5973-4C30-9A77-5392F582796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6:A87" firstHeaderRow="1" firstDataRow="1" firstDataCol="0"/>
  <pivotFields count="2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DPTCoverage" fld="1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B2FC74-9EB9-4F53-BB6E-4FBA6C75257D}"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78:A79" firstHeaderRow="1" firstDataRow="1" firstDataCol="0"/>
  <pivotFields count="20">
    <pivotField showAll="0">
      <items count="10">
        <item x="0"/>
        <item x="1"/>
        <item x="2"/>
        <item x="3"/>
        <item x="4"/>
        <item x="5"/>
        <item x="6"/>
        <item x="7"/>
        <item x="8"/>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LifeExpMale" fld="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7D8048-8B50-4FAA-9F24-DB5F65C2F84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2:A93"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g  Asean Risk Scor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B1C5FB-3DCE-4AFF-8545-3274F3D928C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Country">
  <location ref="A41:D51" firstHeaderRow="0" firstDataRow="1" firstDataCol="1"/>
  <pivotFields count="2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name="Average of PhysicianDensity" fld="12" subtotal="average" baseField="0" baseItem="2" numFmtId="2"/>
    <dataField name="Average of NurseMidwifeDensity" fld="13" subtotal="average" baseField="0" baseItem="2" numFmtId="2"/>
    <dataField name="Average of PharmaDensity" fld="14" subtotal="average" baseField="0" baseItem="2" numFmtId="2"/>
  </dataFields>
  <formats count="5">
    <format dxfId="17">
      <pivotArea collapsedLevelsAreSubtotals="1" fieldPosition="0">
        <references count="2">
          <reference field="4294967294" count="1" selected="0">
            <x v="1"/>
          </reference>
          <reference field="0" count="1">
            <x v="0"/>
          </reference>
        </references>
      </pivotArea>
    </format>
    <format dxfId="16">
      <pivotArea outline="0" collapsedLevelsAreSubtotals="1" fieldPosition="0">
        <references count="1">
          <reference field="4294967294" count="1" selected="0">
            <x v="2"/>
          </reference>
        </references>
      </pivotArea>
    </format>
    <format dxfId="15">
      <pivotArea dataOnly="0" labelOnly="1" outline="0" fieldPosition="0">
        <references count="1">
          <reference field="4294967294" count="1">
            <x v="2"/>
          </reference>
        </references>
      </pivotArea>
    </format>
    <format dxfId="14">
      <pivotArea outline="0" collapsedLevelsAreSubtotals="1" fieldPosition="0">
        <references count="1">
          <reference field="4294967294" count="2" selected="0">
            <x v="0"/>
            <x v="1"/>
          </reference>
        </references>
      </pivotArea>
    </format>
    <format dxfId="13">
      <pivotArea dataOnly="0" labelOnly="1" outline="0" fieldPosition="0">
        <references count="1">
          <reference field="4294967294" count="2">
            <x v="0"/>
            <x v="1"/>
          </reference>
        </references>
      </pivotArea>
    </format>
  </formats>
  <chartFormats count="6">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 chart="19" format="12" series="1">
      <pivotArea type="data" outline="0" fieldPosition="0">
        <references count="1">
          <reference field="4294967294" count="1" selected="0">
            <x v="0"/>
          </reference>
        </references>
      </pivotArea>
    </chartFormat>
    <chartFormat chart="19" format="13" series="1">
      <pivotArea type="data" outline="0" fieldPosition="0">
        <references count="1">
          <reference field="4294967294" count="1" selected="0">
            <x v="1"/>
          </reference>
        </references>
      </pivotArea>
    </chartFormat>
    <chartFormat chart="19"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26988A-D2DD-4AB0-B6B7-24EF6106408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y">
  <location ref="A5:D15" firstHeaderRow="0" firstDataRow="1" firstDataCol="1"/>
  <pivotFields count="20">
    <pivotField axis="axisRow" showAll="0">
      <items count="10">
        <item x="0"/>
        <item x="1"/>
        <item x="2"/>
        <item x="3"/>
        <item x="4"/>
        <item x="5"/>
        <item x="6"/>
        <item x="7"/>
        <item x="8"/>
        <item t="default"/>
      </items>
    </pivotField>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name="Average of MaternalMortality" fld="5" subtotal="average" baseField="0" baseItem="2" numFmtId="2"/>
    <dataField name="Average of LifeExpMale" fld="7" subtotal="average" baseField="0" baseItem="2" numFmtId="2"/>
    <dataField name="Average of LifeExpFemale" fld="8" subtotal="average" baseField="0" baseItem="2" numFmtId="2"/>
  </dataFields>
  <formats count="4">
    <format dxfId="21">
      <pivotArea outline="0" collapsedLevelsAreSubtotals="1" fieldPosition="0">
        <references count="1">
          <reference field="4294967294" count="1" selected="0">
            <x v="2"/>
          </reference>
        </references>
      </pivotArea>
    </format>
    <format dxfId="20">
      <pivotArea dataOnly="0" labelOnly="1" outline="0" fieldPosition="0">
        <references count="1">
          <reference field="4294967294" count="1">
            <x v="2"/>
          </reference>
        </references>
      </pivotArea>
    </format>
    <format dxfId="19">
      <pivotArea outline="0" collapsedLevelsAreSubtotals="1" fieldPosition="0">
        <references count="1">
          <reference field="4294967294" count="2" selected="0">
            <x v="0"/>
            <x v="1"/>
          </reference>
        </references>
      </pivotArea>
    </format>
    <format dxfId="18">
      <pivotArea dataOnly="0" labelOnly="1" outline="0" fieldPosition="0">
        <references count="1">
          <reference field="4294967294" count="2">
            <x v="0"/>
            <x v="1"/>
          </reference>
        </references>
      </pivotArea>
    </format>
  </formats>
  <chartFormats count="6">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B85F84-B541-472D-A8BC-0B9BCA82D43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A89" firstHeaderRow="1" firstDataRow="1" firstDataCol="0"/>
  <pivotFields count="2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g  HealthExpenditureUSDm" fld="1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FAD7FF-97D1-4E04-AF58-CCB9812850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0:A81" firstHeaderRow="1" firstDataRow="1" firstDataCol="0"/>
  <pivotFields count="2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LifeExpFemale" fld="8"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9A5601-1E0B-49A5-8846-969E4CD1CF9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D86:H96" firstHeaderRow="0" firstDataRow="1" firstDataCol="1"/>
  <pivotFields count="20">
    <pivotField axis="axisRow" showAll="0">
      <items count="10">
        <item x="0"/>
        <item x="1"/>
        <item x="2"/>
        <item x="3"/>
        <item x="4"/>
        <item x="5"/>
        <item x="6"/>
        <item x="7"/>
        <item x="8"/>
        <item t="default"/>
      </items>
    </pivotField>
    <pivotField dataField="1"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t="grand">
      <x/>
    </i>
  </rowItems>
  <colFields count="1">
    <field x="-2"/>
  </colFields>
  <colItems count="4">
    <i>
      <x/>
    </i>
    <i i="1">
      <x v="1"/>
    </i>
    <i i="2">
      <x v="2"/>
    </i>
    <i i="3">
      <x v="3"/>
    </i>
  </colItems>
  <dataFields count="4">
    <dataField name="Average of UnderweightChildren" fld="1" subtotal="average" baseField="0" baseItem="5" numFmtId="2"/>
    <dataField name="Average of Under5Mortality" fld="3" subtotal="average" baseField="0" baseItem="0" numFmtId="2"/>
    <dataField name="Average of InfantMortality" fld="4" subtotal="average" baseField="0" baseItem="0" numFmtId="2"/>
    <dataField name="Average of MaternalMortality" fld="5" subtotal="average" baseField="0" baseItem="0" numFmtId="2"/>
  </dataFields>
  <formats count="12">
    <format dxfId="33">
      <pivotArea collapsedLevelsAreSubtotals="1" fieldPosition="0">
        <references count="1">
          <reference field="0" count="0"/>
        </references>
      </pivotArea>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outline="0" fieldPosition="0">
        <references count="1">
          <reference field="4294967294" count="4">
            <x v="0"/>
            <x v="1"/>
            <x v="2"/>
            <x v="3"/>
          </reference>
        </references>
      </pivotArea>
    </format>
    <format dxfId="29">
      <pivotArea dataOnly="0" labelOnly="1" outline="0" fieldPosition="0">
        <references count="1">
          <reference field="4294967294" count="1">
            <x v="0"/>
          </reference>
        </references>
      </pivotArea>
    </format>
    <format dxfId="28">
      <pivotArea dataOnly="0" labelOnly="1" outline="0" fieldPosition="0">
        <references count="1">
          <reference field="4294967294" count="1">
            <x v="0"/>
          </reference>
        </references>
      </pivotArea>
    </format>
    <format dxfId="27">
      <pivotArea dataOnly="0" labelOnly="1" outline="0" fieldPosition="0">
        <references count="1">
          <reference field="4294967294" count="1">
            <x v="1"/>
          </reference>
        </references>
      </pivotArea>
    </format>
    <format dxfId="26">
      <pivotArea dataOnly="0" labelOnly="1" outline="0" fieldPosition="0">
        <references count="1">
          <reference field="4294967294" count="1">
            <x v="1"/>
          </reference>
        </references>
      </pivotArea>
    </format>
    <format dxfId="25">
      <pivotArea dataOnly="0" labelOnly="1" outline="0" fieldPosition="0">
        <references count="1">
          <reference field="4294967294" count="1">
            <x v="2"/>
          </reference>
        </references>
      </pivotArea>
    </format>
    <format dxfId="24">
      <pivotArea dataOnly="0" labelOnly="1" outline="0" fieldPosition="0">
        <references count="1">
          <reference field="4294967294" count="1">
            <x v="2"/>
          </reference>
        </references>
      </pivotArea>
    </format>
    <format dxfId="23">
      <pivotArea dataOnly="0" labelOnly="1" outline="0" fieldPosition="0">
        <references count="1">
          <reference field="4294967294" count="1">
            <x v="3"/>
          </reference>
        </references>
      </pivotArea>
    </format>
    <format dxfId="22">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3409C6-3A1E-4297-B9EF-59A4F1F4038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2:A83" firstHeaderRow="1" firstDataRow="1" firstDataCol="0"/>
  <pivotFields count="20">
    <pivotField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TBPrevalence"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EDB80E9-FCD2-4219-949A-9F5F7CFB81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ountry">
  <location ref="A59:C69" firstHeaderRow="0" firstDataRow="1" firstDataCol="1"/>
  <pivotFields count="2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10">
    <i>
      <x/>
    </i>
    <i>
      <x v="1"/>
    </i>
    <i>
      <x v="2"/>
    </i>
    <i>
      <x v="3"/>
    </i>
    <i>
      <x v="4"/>
    </i>
    <i>
      <x v="5"/>
    </i>
    <i>
      <x v="6"/>
    </i>
    <i>
      <x v="7"/>
    </i>
    <i>
      <x v="8"/>
    </i>
    <i t="grand">
      <x/>
    </i>
  </rowItems>
  <colFields count="1">
    <field x="-2"/>
  </colFields>
  <colItems count="2">
    <i>
      <x/>
    </i>
    <i i="1">
      <x v="1"/>
    </i>
  </colItems>
  <dataFields count="2">
    <dataField name="Sum of HealthExpenditureUSDm" fld="16" baseField="0" baseItem="0"/>
    <dataField name="Average of LifeExpFemale" fld="8" subtotal="average" baseField="0" baseItem="0" numFmtId="2"/>
  </dataFields>
  <chartFormats count="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7A7D2C-FB45-4D47-9F95-732118C820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Country">
  <location ref="A24:D34" firstHeaderRow="0" firstDataRow="1" firstDataCol="1"/>
  <pivotFields count="20">
    <pivotField axis="axisRow" showAll="0">
      <items count="10">
        <item x="0"/>
        <item x="1"/>
        <item x="2"/>
        <item x="3"/>
        <item x="4"/>
        <item x="5"/>
        <item x="6"/>
        <item x="7"/>
        <item x="8"/>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t="grand">
      <x/>
    </i>
  </rowItems>
  <colFields count="1">
    <field x="-2"/>
  </colFields>
  <colItems count="3">
    <i>
      <x/>
    </i>
    <i i="1">
      <x v="1"/>
    </i>
    <i i="2">
      <x v="2"/>
    </i>
  </colItems>
  <dataFields count="3">
    <dataField name="Sum of TBPrevalence" fld="9" baseField="0" baseItem="0" numFmtId="2"/>
    <dataField name="Sum of MalariaPrevalence" fld="10" baseField="0" baseItem="0" numFmtId="2"/>
    <dataField name="Average of HIVPrevalence" fld="11" subtotal="average" baseField="0" baseItem="1" numFmtId="2"/>
  </dataFields>
  <formats count="4">
    <format dxfId="37">
      <pivotArea outline="0" collapsedLevelsAreSubtotals="1" fieldPosition="0">
        <references count="1">
          <reference field="4294967294" count="1" selected="0">
            <x v="2"/>
          </reference>
        </references>
      </pivotArea>
    </format>
    <format dxfId="36">
      <pivotArea dataOnly="0" labelOnly="1" outline="0" fieldPosition="0">
        <references count="1">
          <reference field="4294967294" count="1">
            <x v="2"/>
          </reference>
        </references>
      </pivotArea>
    </format>
    <format dxfId="35">
      <pivotArea outline="0" collapsedLevelsAreSubtotals="1" fieldPosition="0">
        <references count="1">
          <reference field="4294967294" count="2" selected="0">
            <x v="0"/>
            <x v="1"/>
          </reference>
        </references>
      </pivotArea>
    </format>
    <format dxfId="34">
      <pivotArea dataOnly="0" labelOnly="1" outline="0" fieldPosition="0">
        <references count="1">
          <reference field="4294967294" count="2">
            <x v="0"/>
            <x v="1"/>
          </reference>
        </references>
      </pivotArea>
    </format>
  </formats>
  <chartFormats count="6">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 chart="37" format="12" series="1">
      <pivotArea type="data" outline="0" fieldPosition="0">
        <references count="1">
          <reference field="4294967294" count="1" selected="0">
            <x v="0"/>
          </reference>
        </references>
      </pivotArea>
    </chartFormat>
    <chartFormat chart="37" format="13" series="1">
      <pivotArea type="data" outline="0" fieldPosition="0">
        <references count="1">
          <reference field="4294967294" count="1" selected="0">
            <x v="1"/>
          </reference>
        </references>
      </pivotArea>
    </chartFormat>
    <chartFormat chart="37"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DCF2FE-2886-4555-8454-C57A4AFCED9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0:A91"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Life Expectancy" fld="1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0D271C2-073C-4FF3-9F23-5932E4F1A23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A85" firstHeaderRow="1" firstDataRow="1" firstDataCol="0"/>
  <pivotFields count="20">
    <pivotField showAll="0">
      <items count="10">
        <item x="0"/>
        <item x="1"/>
        <item x="2"/>
        <item x="3"/>
        <item x="4"/>
        <item x="5"/>
        <item x="6"/>
        <item x="7"/>
        <item x="8"/>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MaternalMortality" fld="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C702DE-D0CA-4E2B-8927-E23DE44A3C01}" autoFormatId="16" applyNumberFormats="0" applyBorderFormats="0" applyFontFormats="0" applyPatternFormats="0" applyAlignmentFormats="0" applyWidthHeightFormats="0">
  <queryTableRefresh nextId="21">
    <queryTableFields count="20">
      <queryTableField id="1" name="Country" tableColumnId="1"/>
      <queryTableField id="2" name="UnderweightChildren" tableColumnId="2"/>
      <queryTableField id="3" name="UndernourishedPopulation" tableColumnId="3"/>
      <queryTableField id="4" name="Under5Mortality" tableColumnId="4"/>
      <queryTableField id="5" name="InfantMortality" tableColumnId="5"/>
      <queryTableField id="6" name="MaternalMortality" tableColumnId="6"/>
      <queryTableField id="7" name="CrudeDeathRatio" tableColumnId="7"/>
      <queryTableField id="8" name="LifeExpMale" tableColumnId="8"/>
      <queryTableField id="9" name="LifeExpFemale" tableColumnId="9"/>
      <queryTableField id="10" name="TBPrevalence" tableColumnId="10"/>
      <queryTableField id="11" name="MalariaPrevalence" tableColumnId="11"/>
      <queryTableField id="12" name="HIVPrevalence" tableColumnId="12"/>
      <queryTableField id="13" name="PhysicianDensity" tableColumnId="13"/>
      <queryTableField id="14" name="NurseMidwifeDensity" tableColumnId="14"/>
      <queryTableField id="15" name="PharmaDensity" tableColumnId="15"/>
      <queryTableField id="16" name="DPTCoverage" tableColumnId="16"/>
      <queryTableField id="17" name="HealthExpenditureUSDm" tableColumnId="17"/>
      <queryTableField id="18" name="HIVAIDSDeaths" tableColumnId="18"/>
      <queryTableField id="19" name="Life Expectancy" tableColumnId="19"/>
      <queryTableField id="20" name="Asean Risk Scor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8C5BDF-0C95-429B-8594-CEB2499E5513}" sourceName="Country">
  <pivotTables>
    <pivotTable tabId="3" name="PivotTable6"/>
    <pivotTable tabId="3" name="PivotTable10"/>
    <pivotTable tabId="3" name="PivotTable11"/>
    <pivotTable tabId="3" name="PivotTable12"/>
    <pivotTable tabId="3" name="PivotTable3"/>
    <pivotTable tabId="3" name="PivotTable4"/>
    <pivotTable tabId="3" name="PivotTable5"/>
    <pivotTable tabId="3" name="PivotTable7"/>
    <pivotTable tabId="3" name="PivotTable8"/>
    <pivotTable tabId="3" name="PivotTable9"/>
  </pivotTables>
  <data>
    <tabular pivotCacheId="392330657">
      <items count="9">
        <i x="0" s="1"/>
        <i x="1" s="1"/>
        <i x="2"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12FEE29-2099-4FDE-8F2C-20CEBE0B3FBD}" cache="Slicer_Country" caption="Count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E7F005-FFC8-4AEB-BAF1-01E89E1E9071}" name="Raw_Data_Cleaned" displayName="Raw_Data_Cleaned" ref="A1:T10" tableType="queryTable" totalsRowShown="0">
  <autoFilter ref="A1:T10" xr:uid="{00E7F005-FFC8-4AEB-BAF1-01E89E1E9071}"/>
  <tableColumns count="20">
    <tableColumn id="1" xr3:uid="{8A1FF492-C99F-47C1-8880-19562618C1B0}" uniqueName="1" name="Country" queryTableFieldId="1" dataDxfId="41"/>
    <tableColumn id="2" xr3:uid="{6EE52616-B9BE-4CBD-A14F-A39BCEB93CB0}" uniqueName="2" name="UnderweightChildren" queryTableFieldId="2"/>
    <tableColumn id="3" xr3:uid="{B15B913E-B42B-4BD2-9C38-7B60587AD9D2}" uniqueName="3" name="UndernourishedPopulation" queryTableFieldId="3"/>
    <tableColumn id="4" xr3:uid="{8E947E48-D80F-4644-95A0-E4C2344A991C}" uniqueName="4" name="Under5Mortality" queryTableFieldId="4"/>
    <tableColumn id="5" xr3:uid="{705DAA6E-80E8-486E-A339-480E2DA58112}" uniqueName="5" name="InfantMortality" queryTableFieldId="5"/>
    <tableColumn id="6" xr3:uid="{49E55D9D-38B1-4223-A28D-E7B5D60C3EED}" uniqueName="6" name="MaternalMortality" queryTableFieldId="6"/>
    <tableColumn id="7" xr3:uid="{4E5B47AB-F10D-4C71-A0F6-0168F3A9DCF3}" uniqueName="7" name="CrudeDeathRatio" queryTableFieldId="7"/>
    <tableColumn id="8" xr3:uid="{3E54442A-770D-43DB-96CE-9446DB24BBFD}" uniqueName="8" name="LifeExpMale" queryTableFieldId="8"/>
    <tableColumn id="9" xr3:uid="{65DF4576-6E5D-4BC7-9002-A55B03B2B3D4}" uniqueName="9" name="LifeExpFemale" queryTableFieldId="9"/>
    <tableColumn id="10" xr3:uid="{D6D2A0A3-4AD9-4D14-9F9C-07A2A9F2568B}" uniqueName="10" name="TBPrevalence" queryTableFieldId="10"/>
    <tableColumn id="11" xr3:uid="{C31AEF09-60DD-49CB-AA7B-744B8E72365F}" uniqueName="11" name="MalariaPrevalence" queryTableFieldId="11"/>
    <tableColumn id="12" xr3:uid="{D8AE8CF8-9ED4-4FD8-B3A3-40B1D8FD617B}" uniqueName="12" name="HIVPrevalence" queryTableFieldId="12"/>
    <tableColumn id="13" xr3:uid="{19972FBF-468A-4D40-B910-923FC4E93EED}" uniqueName="13" name="PhysicianDensity" queryTableFieldId="13"/>
    <tableColumn id="14" xr3:uid="{DFA146CF-26E2-4D29-A451-00281D7E27AA}" uniqueName="14" name="NurseMidwifeDensity" queryTableFieldId="14"/>
    <tableColumn id="15" xr3:uid="{CC362DFB-1DE0-4499-8FB5-629BEB460B46}" uniqueName="15" name="PharmaDensity" queryTableFieldId="15"/>
    <tableColumn id="16" xr3:uid="{DED811A5-2D76-4782-B734-AE5FEC0DA457}" uniqueName="16" name="DPTCoverage" queryTableFieldId="16"/>
    <tableColumn id="17" xr3:uid="{85930EB0-8018-4499-BA49-ED804344C096}" uniqueName="17" name="HealthExpenditureUSDm" queryTableFieldId="17"/>
    <tableColumn id="18" xr3:uid="{D17A925E-E24A-4EED-BD81-5B1689225D78}" uniqueName="18" name="HIVAIDSDeaths" queryTableFieldId="18"/>
    <tableColumn id="19" xr3:uid="{183CC280-CC11-4160-852A-05415FCBAB3B}" uniqueName="19" name="Life Expectancy" queryTableFieldId="19"/>
    <tableColumn id="20" xr3:uid="{C80F81A5-4F85-45F6-AE2B-170281AB2A6C}" uniqueName="20" name="Asean Risk Score"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C46D9C-7126-4F7D-B137-245CA76DA61D}" name="Table1" displayName="Table1" ref="A1:R11" totalsRowShown="0" headerRowDxfId="40" headerRowBorderDxfId="39" tableBorderDxfId="38">
  <autoFilter ref="A1:R11" xr:uid="{43C46D9C-7126-4F7D-B137-245CA76DA61D}"/>
  <tableColumns count="18">
    <tableColumn id="1" xr3:uid="{1A82C3B2-E168-4549-A4F7-ADA13DF93597}" name="Country"/>
    <tableColumn id="2" xr3:uid="{93BBFF6A-92FD-4418-8F01-A0FA38415D0F}" name="UnderweightChildren"/>
    <tableColumn id="3" xr3:uid="{71F24B5D-A8A5-4B48-8462-F00493DD87CB}" name="UndernourishedPopulation"/>
    <tableColumn id="4" xr3:uid="{4027AAB1-74F2-4B0A-BE1E-7549548BC920}" name="Under5Mortality"/>
    <tableColumn id="5" xr3:uid="{030EAB66-8959-492C-A3D6-584BEE1ED438}" name="InfantMortality"/>
    <tableColumn id="6" xr3:uid="{C28DDA14-8CC8-4B49-9CAA-AE76F7F65D8C}" name="MaternalMortality"/>
    <tableColumn id="7" xr3:uid="{23377A74-DE70-4494-B1BB-251CD5D7C7C1}" name="CrudeDeathRatio"/>
    <tableColumn id="8" xr3:uid="{A2AF6F7A-840B-4E53-BA21-9C7E79DE534D}" name="LifeExpMale"/>
    <tableColumn id="9" xr3:uid="{B0BAF9EC-3581-4CC0-BA72-0863A1DE9413}" name="LifeExpFemale"/>
    <tableColumn id="10" xr3:uid="{0C4AA915-A776-442B-9D52-0300687138C5}" name="TBPrevalence"/>
    <tableColumn id="11" xr3:uid="{CA08ABE2-B95E-4FFE-A1DD-DB94E80659DB}" name="MalariaPrevalence"/>
    <tableColumn id="12" xr3:uid="{C2FF63E2-5E31-4803-AFE5-AFC1FE6DC3B3}" name="HIVPrevalence"/>
    <tableColumn id="13" xr3:uid="{A859432C-A1D0-4A2D-B4E8-7799A592EEBB}" name="PhysicianDensity"/>
    <tableColumn id="14" xr3:uid="{F4C1E764-7F70-40FC-A18C-34B107430469}" name="NurseMidwifeDensity"/>
    <tableColumn id="15" xr3:uid="{2976FA14-63D9-42AF-B50D-812FA5B0E720}" name="PharmaDensity"/>
    <tableColumn id="16" xr3:uid="{998DB23C-BCBE-4D35-A153-B44C631FA396}" name="DPTCoverage"/>
    <tableColumn id="17" xr3:uid="{D21082FA-EA92-47D4-A9B3-62001BF704E6}" name="HealthExpenditureUSDm"/>
    <tableColumn id="18" xr3:uid="{2DEFE012-245A-4CAA-8EF7-74A2A2777DA6}" name="HIVAIDSDeaths"/>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88B98-6788-4D30-94D0-9C3004FFB680}">
  <dimension ref="A1:T10"/>
  <sheetViews>
    <sheetView tabSelected="1" zoomScale="47" zoomScaleNormal="47" workbookViewId="0">
      <selection activeCell="Q21" sqref="Q21"/>
    </sheetView>
  </sheetViews>
  <sheetFormatPr defaultRowHeight="14.5"/>
  <cols>
    <col min="1" max="1" width="9.81640625" bestFit="1" customWidth="1"/>
    <col min="2" max="2" width="21.08984375" bestFit="1" customWidth="1"/>
    <col min="3" max="3" width="26.1796875" bestFit="1" customWidth="1"/>
    <col min="4" max="4" width="17.1796875" bestFit="1" customWidth="1"/>
    <col min="5" max="5" width="16.08984375" bestFit="1" customWidth="1"/>
    <col min="6" max="6" width="18.7265625" bestFit="1" customWidth="1"/>
    <col min="7" max="7" width="17.6328125" bestFit="1" customWidth="1"/>
    <col min="8" max="8" width="13.1796875" bestFit="1" customWidth="1"/>
    <col min="9" max="9" width="15" bestFit="1" customWidth="1"/>
    <col min="10" max="10" width="14.26953125" bestFit="1" customWidth="1"/>
    <col min="11" max="11" width="18.6328125" bestFit="1" customWidth="1"/>
    <col min="12" max="12" width="15.26953125" bestFit="1" customWidth="1"/>
    <col min="13" max="13" width="17.1796875" bestFit="1" customWidth="1"/>
    <col min="14" max="14" width="21.26953125" bestFit="1" customWidth="1"/>
    <col min="15" max="15" width="16" bestFit="1" customWidth="1"/>
    <col min="16" max="16" width="14.1796875" bestFit="1" customWidth="1"/>
    <col min="17" max="17" width="24.1796875" bestFit="1" customWidth="1"/>
    <col min="18" max="18" width="16" bestFit="1" customWidth="1"/>
    <col min="19" max="19" width="15.90625" bestFit="1" customWidth="1"/>
    <col min="20" max="20" width="17.0898437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50</v>
      </c>
      <c r="T1" t="s">
        <v>52</v>
      </c>
    </row>
    <row r="2" spans="1:20">
      <c r="A2" t="s">
        <v>18</v>
      </c>
      <c r="B2">
        <v>29.1</v>
      </c>
      <c r="C2">
        <v>5</v>
      </c>
      <c r="D2">
        <v>8.6999999999999993</v>
      </c>
      <c r="E2">
        <v>7.4</v>
      </c>
      <c r="F2">
        <v>27</v>
      </c>
      <c r="G2">
        <v>3.6</v>
      </c>
      <c r="H2">
        <v>75.900000000000006</v>
      </c>
      <c r="I2">
        <v>78.8</v>
      </c>
      <c r="J2">
        <v>311</v>
      </c>
      <c r="M2">
        <v>1.47</v>
      </c>
      <c r="N2">
        <v>8.1950000000000003</v>
      </c>
      <c r="O2">
        <v>0.41199999999999998</v>
      </c>
      <c r="P2">
        <v>99</v>
      </c>
      <c r="Q2">
        <v>18.899999999999999</v>
      </c>
      <c r="S2">
        <v>115.30000000000001</v>
      </c>
    </row>
    <row r="3" spans="1:20">
      <c r="A3" t="s">
        <v>19</v>
      </c>
      <c r="B3">
        <v>29</v>
      </c>
      <c r="C3">
        <v>14.2</v>
      </c>
      <c r="D3">
        <v>40</v>
      </c>
      <c r="E3">
        <v>33</v>
      </c>
      <c r="F3">
        <v>170</v>
      </c>
      <c r="G3">
        <v>6</v>
      </c>
      <c r="H3">
        <v>63.4</v>
      </c>
      <c r="I3">
        <v>69.8</v>
      </c>
      <c r="J3">
        <v>764</v>
      </c>
      <c r="K3">
        <v>407</v>
      </c>
      <c r="L3">
        <v>0.6</v>
      </c>
      <c r="M3">
        <v>0.16800000000000001</v>
      </c>
      <c r="N3">
        <v>0.95599999999999996</v>
      </c>
      <c r="O3">
        <v>0.04</v>
      </c>
      <c r="P3">
        <v>97</v>
      </c>
      <c r="Q3">
        <v>21.1</v>
      </c>
      <c r="R3">
        <v>1800</v>
      </c>
      <c r="S3">
        <v>98.3</v>
      </c>
      <c r="T3">
        <v>265.90999999999997</v>
      </c>
    </row>
    <row r="4" spans="1:20">
      <c r="A4" t="s">
        <v>20</v>
      </c>
      <c r="B4">
        <v>19.899999999999999</v>
      </c>
      <c r="C4">
        <v>7.6</v>
      </c>
      <c r="D4">
        <v>40</v>
      </c>
      <c r="E4">
        <v>27.2</v>
      </c>
      <c r="F4">
        <v>190</v>
      </c>
      <c r="G4">
        <v>6.2</v>
      </c>
      <c r="H4">
        <v>67.7</v>
      </c>
      <c r="I4">
        <v>71.099999999999994</v>
      </c>
      <c r="J4">
        <v>297</v>
      </c>
      <c r="K4">
        <v>39.799999999999997</v>
      </c>
      <c r="L4">
        <v>0.4</v>
      </c>
      <c r="M4">
        <v>0.20100000000000001</v>
      </c>
      <c r="N4">
        <v>1.365</v>
      </c>
      <c r="O4">
        <v>0.10299999999999999</v>
      </c>
      <c r="P4">
        <v>91</v>
      </c>
      <c r="Q4">
        <v>1737.2</v>
      </c>
      <c r="R4">
        <v>38000</v>
      </c>
      <c r="S4">
        <v>103.25</v>
      </c>
      <c r="T4">
        <v>120.34</v>
      </c>
    </row>
    <row r="5" spans="1:20">
      <c r="A5" t="s">
        <v>28</v>
      </c>
      <c r="B5">
        <v>26.5</v>
      </c>
      <c r="C5">
        <v>18.5</v>
      </c>
      <c r="D5">
        <v>64.3</v>
      </c>
      <c r="E5">
        <v>48.9</v>
      </c>
      <c r="F5">
        <v>220</v>
      </c>
      <c r="G5">
        <v>7</v>
      </c>
      <c r="H5">
        <v>66.5</v>
      </c>
      <c r="I5">
        <v>68.900000000000006</v>
      </c>
      <c r="J5">
        <v>514</v>
      </c>
      <c r="L5">
        <v>0.3</v>
      </c>
      <c r="M5">
        <v>0.17899999999999999</v>
      </c>
      <c r="N5">
        <v>0.86199999999999999</v>
      </c>
      <c r="O5">
        <v>0.114</v>
      </c>
      <c r="P5">
        <v>89</v>
      </c>
      <c r="Q5">
        <v>25.2</v>
      </c>
      <c r="R5">
        <v>500</v>
      </c>
      <c r="S5">
        <v>100.95</v>
      </c>
    </row>
    <row r="6" spans="1:20">
      <c r="A6" t="s">
        <v>22</v>
      </c>
      <c r="B6">
        <v>12.9</v>
      </c>
      <c r="C6">
        <v>5</v>
      </c>
      <c r="D6">
        <v>9</v>
      </c>
      <c r="E6">
        <v>6.6</v>
      </c>
      <c r="F6">
        <v>29</v>
      </c>
      <c r="G6">
        <v>4.7</v>
      </c>
      <c r="H6">
        <v>72.7</v>
      </c>
      <c r="I6">
        <v>77.400000000000006</v>
      </c>
      <c r="J6">
        <v>101</v>
      </c>
      <c r="K6">
        <v>23.5</v>
      </c>
      <c r="L6">
        <v>0.4</v>
      </c>
      <c r="M6">
        <v>1.2809999999999999</v>
      </c>
      <c r="N6">
        <v>3.3969999999999998</v>
      </c>
      <c r="O6">
        <v>0.434</v>
      </c>
      <c r="P6">
        <v>93</v>
      </c>
      <c r="Q6">
        <v>367.2</v>
      </c>
      <c r="R6">
        <v>7000</v>
      </c>
      <c r="S6">
        <v>111.4</v>
      </c>
      <c r="T6">
        <v>33.625</v>
      </c>
    </row>
    <row r="7" spans="1:20">
      <c r="A7" t="s">
        <v>23</v>
      </c>
      <c r="B7">
        <v>22.6</v>
      </c>
      <c r="C7">
        <v>14.2</v>
      </c>
      <c r="D7">
        <v>29.6</v>
      </c>
      <c r="E7">
        <v>24.3</v>
      </c>
      <c r="F7">
        <v>200</v>
      </c>
      <c r="G7">
        <v>8.5</v>
      </c>
      <c r="H7">
        <v>67.5</v>
      </c>
      <c r="I7">
        <v>69.900000000000006</v>
      </c>
      <c r="J7">
        <v>457</v>
      </c>
      <c r="K7">
        <v>4.0999999999999996</v>
      </c>
      <c r="L7">
        <v>0.8</v>
      </c>
      <c r="M7">
        <v>0.56799999999999995</v>
      </c>
      <c r="N7">
        <v>0.93</v>
      </c>
      <c r="O7">
        <v>3.0000000000000001E-3</v>
      </c>
      <c r="P7">
        <v>92</v>
      </c>
      <c r="Q7">
        <v>297.5</v>
      </c>
      <c r="R7">
        <v>7800</v>
      </c>
      <c r="S7">
        <v>102.45</v>
      </c>
      <c r="T7">
        <v>149.215</v>
      </c>
    </row>
    <row r="8" spans="1:20">
      <c r="A8" t="s">
        <v>24</v>
      </c>
      <c r="B8">
        <v>19.899999999999999</v>
      </c>
      <c r="C8">
        <v>13.5</v>
      </c>
      <c r="D8">
        <v>25</v>
      </c>
      <c r="E8">
        <v>20</v>
      </c>
      <c r="F8">
        <v>120</v>
      </c>
      <c r="G8">
        <v>6</v>
      </c>
      <c r="H8">
        <v>65.400000000000006</v>
      </c>
      <c r="I8">
        <v>72.2</v>
      </c>
      <c r="J8">
        <v>461</v>
      </c>
      <c r="K8">
        <v>9.8000000000000007</v>
      </c>
      <c r="L8">
        <v>0.1</v>
      </c>
      <c r="M8">
        <v>1.1100000000000001</v>
      </c>
      <c r="N8">
        <v>5.774</v>
      </c>
      <c r="O8">
        <v>0.88900000000000001</v>
      </c>
      <c r="P8">
        <v>86</v>
      </c>
      <c r="Q8">
        <v>299.3</v>
      </c>
      <c r="R8">
        <v>1000</v>
      </c>
      <c r="S8">
        <v>101.5</v>
      </c>
      <c r="T8">
        <v>129.67000000000002</v>
      </c>
    </row>
    <row r="9" spans="1:20">
      <c r="A9" t="s">
        <v>26</v>
      </c>
      <c r="B9">
        <v>9.1999999999999993</v>
      </c>
      <c r="C9">
        <v>7.4</v>
      </c>
      <c r="D9">
        <v>9</v>
      </c>
      <c r="E9">
        <v>6.8</v>
      </c>
      <c r="F9">
        <v>26</v>
      </c>
      <c r="G9">
        <v>7.7</v>
      </c>
      <c r="H9">
        <v>71.099999999999994</v>
      </c>
      <c r="I9">
        <v>77.8</v>
      </c>
      <c r="J9">
        <v>159</v>
      </c>
      <c r="K9">
        <v>33</v>
      </c>
      <c r="L9">
        <v>1.1000000000000001</v>
      </c>
      <c r="M9">
        <v>0.39400000000000002</v>
      </c>
      <c r="N9">
        <v>2.08</v>
      </c>
      <c r="O9">
        <v>0.13</v>
      </c>
      <c r="P9">
        <v>100</v>
      </c>
      <c r="Q9">
        <v>476.8</v>
      </c>
      <c r="R9">
        <v>16000</v>
      </c>
      <c r="S9">
        <v>110</v>
      </c>
      <c r="T9">
        <v>45.640000000000008</v>
      </c>
    </row>
    <row r="10" spans="1:20">
      <c r="A10" t="s">
        <v>27</v>
      </c>
      <c r="B10">
        <v>12</v>
      </c>
      <c r="C10">
        <v>11</v>
      </c>
      <c r="D10">
        <v>22.4</v>
      </c>
      <c r="E10">
        <v>14.9</v>
      </c>
      <c r="F10">
        <v>49</v>
      </c>
      <c r="G10">
        <v>6.9</v>
      </c>
      <c r="H10">
        <v>70.599999999999994</v>
      </c>
      <c r="I10">
        <v>76</v>
      </c>
      <c r="J10">
        <v>218</v>
      </c>
      <c r="K10">
        <v>51.6</v>
      </c>
      <c r="L10">
        <v>0.4</v>
      </c>
      <c r="M10">
        <v>1.18</v>
      </c>
      <c r="N10">
        <v>1.226</v>
      </c>
      <c r="O10">
        <v>0.31</v>
      </c>
      <c r="P10">
        <v>95</v>
      </c>
      <c r="Q10">
        <v>914.5</v>
      </c>
      <c r="R10">
        <v>8000</v>
      </c>
      <c r="S10">
        <v>108.6</v>
      </c>
      <c r="T10">
        <v>67.81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
  <sheetViews>
    <sheetView zoomScale="33" zoomScaleNormal="33" workbookViewId="0">
      <selection activeCell="B1" sqref="B1"/>
    </sheetView>
  </sheetViews>
  <sheetFormatPr defaultRowHeight="14.5"/>
  <cols>
    <col min="1" max="1" width="10.54296875" bestFit="1" customWidth="1"/>
    <col min="2" max="2" width="22.81640625" bestFit="1" customWidth="1"/>
    <col min="3" max="3" width="28.26953125" bestFit="1" customWidth="1"/>
    <col min="4" max="4" width="18.54296875" bestFit="1" customWidth="1"/>
    <col min="5" max="5" width="17.26953125" bestFit="1" customWidth="1"/>
    <col min="6" max="6" width="20.453125" bestFit="1" customWidth="1"/>
    <col min="7" max="7" width="18.81640625" bestFit="1" customWidth="1"/>
    <col min="8" max="8" width="14.26953125" bestFit="1" customWidth="1"/>
    <col min="9" max="9" width="16.453125" bestFit="1" customWidth="1"/>
    <col min="10" max="10" width="15.54296875" bestFit="1" customWidth="1"/>
    <col min="11" max="11" width="20.453125" bestFit="1" customWidth="1"/>
    <col min="12" max="12" width="16.54296875" bestFit="1" customWidth="1"/>
    <col min="13" max="13" width="18.54296875" bestFit="1" customWidth="1"/>
    <col min="14" max="14" width="23.1796875" bestFit="1" customWidth="1"/>
    <col min="15" max="15" width="17.1796875" bestFit="1" customWidth="1"/>
    <col min="16" max="16" width="15.26953125" bestFit="1" customWidth="1"/>
    <col min="17" max="17" width="26.1796875" bestFit="1" customWidth="1"/>
    <col min="18" max="18" width="17.269531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v>29.1</v>
      </c>
      <c r="C2">
        <v>5</v>
      </c>
      <c r="D2">
        <v>8.6999999999999993</v>
      </c>
      <c r="E2">
        <v>7.4</v>
      </c>
      <c r="F2">
        <v>27</v>
      </c>
      <c r="G2">
        <v>3.6</v>
      </c>
      <c r="H2">
        <v>75.900000000000006</v>
      </c>
      <c r="I2">
        <v>78.8</v>
      </c>
      <c r="J2">
        <v>311</v>
      </c>
      <c r="M2">
        <v>1.47</v>
      </c>
      <c r="N2">
        <v>8.1950000000000003</v>
      </c>
      <c r="O2">
        <v>0.41199999999999998</v>
      </c>
      <c r="P2">
        <v>99</v>
      </c>
      <c r="Q2">
        <v>18.899999999999999</v>
      </c>
    </row>
    <row r="3" spans="1:18">
      <c r="A3" t="s">
        <v>19</v>
      </c>
      <c r="B3">
        <v>29</v>
      </c>
      <c r="C3">
        <v>14.2</v>
      </c>
      <c r="D3">
        <v>40</v>
      </c>
      <c r="E3">
        <v>33</v>
      </c>
      <c r="F3">
        <v>170</v>
      </c>
      <c r="G3">
        <v>6</v>
      </c>
      <c r="H3">
        <v>63.4</v>
      </c>
      <c r="I3">
        <v>69.8</v>
      </c>
      <c r="J3">
        <v>764</v>
      </c>
      <c r="K3">
        <v>407</v>
      </c>
      <c r="L3">
        <v>0.6</v>
      </c>
      <c r="M3">
        <v>0.16800000000000001</v>
      </c>
      <c r="N3">
        <v>0.95599999999999996</v>
      </c>
      <c r="O3">
        <v>0.04</v>
      </c>
      <c r="P3">
        <v>97</v>
      </c>
      <c r="Q3">
        <v>21.1</v>
      </c>
      <c r="R3">
        <v>1800</v>
      </c>
    </row>
    <row r="4" spans="1:18">
      <c r="A4" t="s">
        <v>20</v>
      </c>
      <c r="B4">
        <v>19.899999999999999</v>
      </c>
      <c r="C4">
        <v>7.6</v>
      </c>
      <c r="D4">
        <v>40</v>
      </c>
      <c r="E4">
        <v>27.2</v>
      </c>
      <c r="F4">
        <v>190</v>
      </c>
      <c r="G4">
        <v>6.2</v>
      </c>
      <c r="H4">
        <v>67.7</v>
      </c>
      <c r="I4">
        <v>71.099999999999994</v>
      </c>
      <c r="J4">
        <v>297</v>
      </c>
      <c r="K4">
        <v>39.799999999999997</v>
      </c>
      <c r="L4">
        <v>0.4</v>
      </c>
      <c r="M4">
        <v>0.20100000000000001</v>
      </c>
      <c r="N4">
        <v>1.365</v>
      </c>
      <c r="O4">
        <v>0.10299999999999999</v>
      </c>
      <c r="P4">
        <v>90.7</v>
      </c>
      <c r="Q4">
        <v>1737.2</v>
      </c>
      <c r="R4">
        <v>38000</v>
      </c>
    </row>
    <row r="5" spans="1:18">
      <c r="A5" t="s">
        <v>21</v>
      </c>
      <c r="B5">
        <v>26.5</v>
      </c>
      <c r="C5">
        <v>18.5</v>
      </c>
      <c r="D5">
        <v>64.3</v>
      </c>
      <c r="E5">
        <v>48.9</v>
      </c>
      <c r="F5">
        <v>220</v>
      </c>
      <c r="G5">
        <v>7</v>
      </c>
      <c r="H5">
        <v>66.5</v>
      </c>
      <c r="I5">
        <v>68.900000000000006</v>
      </c>
      <c r="J5">
        <v>514</v>
      </c>
      <c r="L5">
        <v>0.3</v>
      </c>
      <c r="M5">
        <v>0.17899999999999999</v>
      </c>
      <c r="N5">
        <v>0.86199999999999999</v>
      </c>
      <c r="O5">
        <v>0.114</v>
      </c>
      <c r="P5">
        <v>89</v>
      </c>
      <c r="Q5">
        <v>25.2</v>
      </c>
      <c r="R5">
        <v>500</v>
      </c>
    </row>
    <row r="6" spans="1:18">
      <c r="A6" t="s">
        <v>22</v>
      </c>
      <c r="B6">
        <v>12.9</v>
      </c>
      <c r="C6">
        <v>5</v>
      </c>
      <c r="D6">
        <v>9</v>
      </c>
      <c r="E6">
        <v>6.6</v>
      </c>
      <c r="F6">
        <v>29</v>
      </c>
      <c r="G6">
        <v>4.7</v>
      </c>
      <c r="H6">
        <v>72.7</v>
      </c>
      <c r="I6">
        <v>77.400000000000006</v>
      </c>
      <c r="J6">
        <v>101</v>
      </c>
      <c r="K6">
        <v>23.5</v>
      </c>
      <c r="L6">
        <v>0.4</v>
      </c>
      <c r="M6">
        <v>1.2809999999999999</v>
      </c>
      <c r="N6">
        <v>3.3969999999999998</v>
      </c>
      <c r="O6">
        <v>0.434</v>
      </c>
      <c r="P6">
        <v>93</v>
      </c>
      <c r="Q6">
        <v>367.2</v>
      </c>
      <c r="R6">
        <v>7000</v>
      </c>
    </row>
    <row r="7" spans="1:18">
      <c r="A7" t="s">
        <v>23</v>
      </c>
      <c r="B7">
        <v>22.6</v>
      </c>
      <c r="C7">
        <v>14.2</v>
      </c>
      <c r="D7">
        <v>29.6</v>
      </c>
      <c r="E7">
        <v>24.3</v>
      </c>
      <c r="F7">
        <v>200</v>
      </c>
      <c r="G7">
        <v>8.5</v>
      </c>
      <c r="H7">
        <v>67.5</v>
      </c>
      <c r="I7">
        <v>69.900000000000006</v>
      </c>
      <c r="J7">
        <v>457</v>
      </c>
      <c r="K7">
        <v>4.0999999999999996</v>
      </c>
      <c r="L7">
        <v>0.8</v>
      </c>
      <c r="M7">
        <v>0.56799999999999995</v>
      </c>
      <c r="N7">
        <v>0.93</v>
      </c>
      <c r="O7">
        <v>3.0000000000000001E-3</v>
      </c>
      <c r="P7">
        <v>92</v>
      </c>
      <c r="Q7">
        <v>297.5</v>
      </c>
      <c r="R7">
        <v>7800</v>
      </c>
    </row>
    <row r="8" spans="1:18">
      <c r="A8" t="s">
        <v>24</v>
      </c>
      <c r="B8">
        <v>19.899999999999999</v>
      </c>
      <c r="C8">
        <v>13.5</v>
      </c>
      <c r="D8">
        <v>25</v>
      </c>
      <c r="E8">
        <v>20</v>
      </c>
      <c r="F8">
        <v>120</v>
      </c>
      <c r="G8">
        <v>6</v>
      </c>
      <c r="H8">
        <v>65.400000000000006</v>
      </c>
      <c r="I8">
        <v>72.2</v>
      </c>
      <c r="J8">
        <v>461</v>
      </c>
      <c r="K8">
        <v>9.8000000000000007</v>
      </c>
      <c r="L8">
        <v>0.1</v>
      </c>
      <c r="M8">
        <v>1.1100000000000001</v>
      </c>
      <c r="N8">
        <v>5.774</v>
      </c>
      <c r="O8">
        <v>0.88900000000000001</v>
      </c>
      <c r="P8">
        <v>86</v>
      </c>
      <c r="Q8">
        <v>299.3</v>
      </c>
      <c r="R8">
        <v>1000</v>
      </c>
    </row>
    <row r="9" spans="1:18">
      <c r="A9" t="s">
        <v>25</v>
      </c>
      <c r="B9">
        <v>3.3</v>
      </c>
      <c r="D9">
        <v>2.6</v>
      </c>
      <c r="E9">
        <v>1.8</v>
      </c>
      <c r="F9">
        <v>2</v>
      </c>
      <c r="G9">
        <v>4.7</v>
      </c>
      <c r="H9">
        <v>80.5</v>
      </c>
      <c r="I9">
        <v>84.9</v>
      </c>
      <c r="J9">
        <v>36.9</v>
      </c>
      <c r="K9">
        <v>1.1000000000000001</v>
      </c>
      <c r="M9">
        <v>1.913</v>
      </c>
      <c r="N9">
        <v>5.649</v>
      </c>
      <c r="O9">
        <v>0.40400000000000003</v>
      </c>
      <c r="P9">
        <v>96</v>
      </c>
      <c r="Q9">
        <v>1027.8</v>
      </c>
    </row>
    <row r="10" spans="1:18">
      <c r="A10" t="s">
        <v>26</v>
      </c>
      <c r="B10">
        <v>9.1999999999999993</v>
      </c>
      <c r="C10">
        <v>7.4</v>
      </c>
      <c r="D10">
        <v>9</v>
      </c>
      <c r="E10">
        <v>6.8</v>
      </c>
      <c r="F10">
        <v>26</v>
      </c>
      <c r="G10">
        <v>7.7</v>
      </c>
      <c r="H10">
        <v>71.099999999999994</v>
      </c>
      <c r="I10">
        <v>77.8</v>
      </c>
      <c r="J10">
        <v>159</v>
      </c>
      <c r="K10">
        <v>33</v>
      </c>
      <c r="L10">
        <v>1.1000000000000001</v>
      </c>
      <c r="M10">
        <v>0.39400000000000002</v>
      </c>
      <c r="N10">
        <v>2.08</v>
      </c>
      <c r="O10">
        <v>0.13</v>
      </c>
      <c r="P10">
        <v>100</v>
      </c>
      <c r="Q10">
        <v>476.8</v>
      </c>
      <c r="R10">
        <v>16000</v>
      </c>
    </row>
    <row r="11" spans="1:18">
      <c r="A11" t="s">
        <v>27</v>
      </c>
      <c r="B11">
        <v>12</v>
      </c>
      <c r="C11">
        <v>11</v>
      </c>
      <c r="D11">
        <v>22.4</v>
      </c>
      <c r="E11">
        <v>14.9</v>
      </c>
      <c r="F11">
        <v>49</v>
      </c>
      <c r="G11">
        <v>6.9</v>
      </c>
      <c r="H11">
        <v>70.599999999999994</v>
      </c>
      <c r="I11">
        <v>76</v>
      </c>
      <c r="J11">
        <v>218</v>
      </c>
      <c r="K11">
        <v>51.6</v>
      </c>
      <c r="L11">
        <v>0.4</v>
      </c>
      <c r="M11">
        <v>1.18</v>
      </c>
      <c r="N11">
        <v>1.226</v>
      </c>
      <c r="O11">
        <v>0.31</v>
      </c>
      <c r="P11">
        <v>95</v>
      </c>
      <c r="Q11">
        <v>914.5</v>
      </c>
      <c r="R11">
        <v>8000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6D32-E290-4968-B29E-26807E6C397A}">
  <dimension ref="A3:H109"/>
  <sheetViews>
    <sheetView zoomScale="54" zoomScaleNormal="54" workbookViewId="0">
      <selection activeCell="B23" sqref="B23"/>
    </sheetView>
  </sheetViews>
  <sheetFormatPr defaultRowHeight="14.5"/>
  <cols>
    <col min="1" max="1" width="22.453125" bestFit="1" customWidth="1"/>
    <col min="2" max="2" width="25.36328125" style="4" bestFit="1" customWidth="1"/>
    <col min="3" max="3" width="29.54296875" style="4" bestFit="1" customWidth="1"/>
    <col min="4" max="4" width="24" style="4" bestFit="1" customWidth="1"/>
    <col min="5" max="5" width="32.26953125" bestFit="1" customWidth="1"/>
    <col min="6" max="6" width="27.7265625" bestFit="1" customWidth="1"/>
    <col min="7" max="7" width="26.1796875" bestFit="1" customWidth="1"/>
    <col min="8" max="8" width="35.26953125" bestFit="1" customWidth="1"/>
  </cols>
  <sheetData>
    <row r="3" spans="1:8">
      <c r="H3" t="s">
        <v>31</v>
      </c>
    </row>
    <row r="4" spans="1:8">
      <c r="A4" t="s">
        <v>30</v>
      </c>
    </row>
    <row r="5" spans="1:8">
      <c r="A5" s="2" t="s">
        <v>0</v>
      </c>
      <c r="B5" s="4" t="s">
        <v>46</v>
      </c>
      <c r="C5" s="4" t="s">
        <v>40</v>
      </c>
      <c r="D5" s="4" t="s">
        <v>39</v>
      </c>
    </row>
    <row r="6" spans="1:8">
      <c r="A6" s="3" t="s">
        <v>18</v>
      </c>
      <c r="B6" s="4">
        <v>27</v>
      </c>
      <c r="C6" s="4">
        <v>75.900000000000006</v>
      </c>
      <c r="D6" s="4">
        <v>78.8</v>
      </c>
    </row>
    <row r="7" spans="1:8">
      <c r="A7" s="3" t="s">
        <v>19</v>
      </c>
      <c r="B7" s="4">
        <v>170</v>
      </c>
      <c r="C7" s="4">
        <v>63.4</v>
      </c>
      <c r="D7" s="4">
        <v>69.8</v>
      </c>
    </row>
    <row r="8" spans="1:8">
      <c r="A8" s="3" t="s">
        <v>20</v>
      </c>
      <c r="B8" s="4">
        <v>190</v>
      </c>
      <c r="C8" s="4">
        <v>67.7</v>
      </c>
      <c r="D8" s="4">
        <v>71.099999999999994</v>
      </c>
    </row>
    <row r="9" spans="1:8">
      <c r="A9" s="3" t="s">
        <v>28</v>
      </c>
      <c r="B9" s="4">
        <v>220</v>
      </c>
      <c r="C9" s="4">
        <v>66.5</v>
      </c>
      <c r="D9" s="4">
        <v>68.900000000000006</v>
      </c>
    </row>
    <row r="10" spans="1:8">
      <c r="A10" s="3" t="s">
        <v>22</v>
      </c>
      <c r="B10" s="4">
        <v>29</v>
      </c>
      <c r="C10" s="4">
        <v>72.7</v>
      </c>
      <c r="D10" s="4">
        <v>77.400000000000006</v>
      </c>
    </row>
    <row r="11" spans="1:8">
      <c r="A11" s="3" t="s">
        <v>23</v>
      </c>
      <c r="B11" s="4">
        <v>200</v>
      </c>
      <c r="C11" s="4">
        <v>67.5</v>
      </c>
      <c r="D11" s="4">
        <v>69.900000000000006</v>
      </c>
    </row>
    <row r="12" spans="1:8">
      <c r="A12" s="3" t="s">
        <v>24</v>
      </c>
      <c r="B12" s="4">
        <v>120</v>
      </c>
      <c r="C12" s="4">
        <v>65.400000000000006</v>
      </c>
      <c r="D12" s="4">
        <v>72.2</v>
      </c>
    </row>
    <row r="13" spans="1:8">
      <c r="A13" s="3" t="s">
        <v>26</v>
      </c>
      <c r="B13" s="4">
        <v>26</v>
      </c>
      <c r="C13" s="4">
        <v>71.099999999999994</v>
      </c>
      <c r="D13" s="4">
        <v>77.8</v>
      </c>
    </row>
    <row r="14" spans="1:8">
      <c r="A14" s="3" t="s">
        <v>27</v>
      </c>
      <c r="B14" s="4">
        <v>49</v>
      </c>
      <c r="C14" s="4">
        <v>70.599999999999994</v>
      </c>
      <c r="D14" s="4">
        <v>76</v>
      </c>
    </row>
    <row r="15" spans="1:8">
      <c r="A15" s="3" t="s">
        <v>29</v>
      </c>
      <c r="B15" s="4">
        <v>114.55555555555556</v>
      </c>
      <c r="C15" s="4">
        <v>68.977777777777789</v>
      </c>
      <c r="D15" s="4">
        <v>73.544444444444437</v>
      </c>
    </row>
    <row r="23" spans="1:4">
      <c r="A23">
        <v>2</v>
      </c>
      <c r="B23" s="4" t="s">
        <v>36</v>
      </c>
    </row>
    <row r="24" spans="1:4">
      <c r="A24" s="2" t="s">
        <v>0</v>
      </c>
      <c r="B24" s="4" t="s">
        <v>32</v>
      </c>
      <c r="C24" s="4" t="s">
        <v>33</v>
      </c>
      <c r="D24" s="4" t="s">
        <v>35</v>
      </c>
    </row>
    <row r="25" spans="1:4">
      <c r="A25" s="3" t="s">
        <v>18</v>
      </c>
      <c r="B25" s="4">
        <v>311</v>
      </c>
    </row>
    <row r="26" spans="1:4">
      <c r="A26" s="3" t="s">
        <v>19</v>
      </c>
      <c r="B26" s="4">
        <v>764</v>
      </c>
      <c r="C26" s="4">
        <v>407</v>
      </c>
      <c r="D26" s="4">
        <v>0.6</v>
      </c>
    </row>
    <row r="27" spans="1:4">
      <c r="A27" s="3" t="s">
        <v>20</v>
      </c>
      <c r="B27" s="4">
        <v>297</v>
      </c>
      <c r="C27" s="4">
        <v>39.799999999999997</v>
      </c>
      <c r="D27" s="4">
        <v>0.4</v>
      </c>
    </row>
    <row r="28" spans="1:4">
      <c r="A28" s="3" t="s">
        <v>28</v>
      </c>
      <c r="B28" s="4">
        <v>514</v>
      </c>
      <c r="D28" s="4">
        <v>0.3</v>
      </c>
    </row>
    <row r="29" spans="1:4">
      <c r="A29" s="3" t="s">
        <v>22</v>
      </c>
      <c r="B29" s="4">
        <v>101</v>
      </c>
      <c r="C29" s="4">
        <v>23.5</v>
      </c>
      <c r="D29" s="4">
        <v>0.4</v>
      </c>
    </row>
    <row r="30" spans="1:4">
      <c r="A30" s="3" t="s">
        <v>23</v>
      </c>
      <c r="B30" s="4">
        <v>457</v>
      </c>
      <c r="C30" s="4">
        <v>4.0999999999999996</v>
      </c>
      <c r="D30" s="4">
        <v>0.8</v>
      </c>
    </row>
    <row r="31" spans="1:4">
      <c r="A31" s="3" t="s">
        <v>24</v>
      </c>
      <c r="B31" s="4">
        <v>461</v>
      </c>
      <c r="C31" s="4">
        <v>9.8000000000000007</v>
      </c>
      <c r="D31" s="4">
        <v>0.1</v>
      </c>
    </row>
    <row r="32" spans="1:4">
      <c r="A32" s="3" t="s">
        <v>26</v>
      </c>
      <c r="B32" s="4">
        <v>159</v>
      </c>
      <c r="C32" s="4">
        <v>33</v>
      </c>
      <c r="D32" s="4">
        <v>1.1000000000000001</v>
      </c>
    </row>
    <row r="33" spans="1:4">
      <c r="A33" s="3" t="s">
        <v>27</v>
      </c>
      <c r="B33" s="4">
        <v>218</v>
      </c>
      <c r="C33" s="4">
        <v>51.6</v>
      </c>
      <c r="D33" s="4">
        <v>0.4</v>
      </c>
    </row>
    <row r="34" spans="1:4">
      <c r="A34" s="3" t="s">
        <v>29</v>
      </c>
      <c r="B34" s="4">
        <v>3282</v>
      </c>
      <c r="C34" s="4">
        <v>568.80000000000007</v>
      </c>
      <c r="D34" s="4">
        <v>0.51250000000000007</v>
      </c>
    </row>
    <row r="40" spans="1:4">
      <c r="A40">
        <v>3</v>
      </c>
      <c r="B40" s="4" t="s">
        <v>37</v>
      </c>
    </row>
    <row r="41" spans="1:4">
      <c r="A41" s="2" t="s">
        <v>0</v>
      </c>
      <c r="B41" s="4" t="s">
        <v>43</v>
      </c>
      <c r="C41" s="4" t="s">
        <v>41</v>
      </c>
      <c r="D41" s="4" t="s">
        <v>42</v>
      </c>
    </row>
    <row r="42" spans="1:4">
      <c r="A42" s="3" t="s">
        <v>18</v>
      </c>
      <c r="B42" s="4">
        <v>1.47</v>
      </c>
      <c r="C42" s="4">
        <v>8.1950000000000003</v>
      </c>
      <c r="D42" s="4">
        <v>0.41199999999999998</v>
      </c>
    </row>
    <row r="43" spans="1:4">
      <c r="A43" s="3" t="s">
        <v>19</v>
      </c>
      <c r="B43" s="4">
        <v>0.16800000000000001</v>
      </c>
      <c r="C43" s="4">
        <v>0.95599999999999996</v>
      </c>
      <c r="D43" s="4">
        <v>0.04</v>
      </c>
    </row>
    <row r="44" spans="1:4">
      <c r="A44" s="3" t="s">
        <v>20</v>
      </c>
      <c r="B44" s="4">
        <v>0.20100000000000001</v>
      </c>
      <c r="C44" s="4">
        <v>1.365</v>
      </c>
      <c r="D44" s="4">
        <v>0.10299999999999999</v>
      </c>
    </row>
    <row r="45" spans="1:4">
      <c r="A45" s="3" t="s">
        <v>28</v>
      </c>
      <c r="B45" s="4">
        <v>0.17899999999999999</v>
      </c>
      <c r="C45" s="4">
        <v>0.86199999999999999</v>
      </c>
      <c r="D45" s="4">
        <v>0.114</v>
      </c>
    </row>
    <row r="46" spans="1:4">
      <c r="A46" s="3" t="s">
        <v>22</v>
      </c>
      <c r="B46" s="4">
        <v>1.2809999999999999</v>
      </c>
      <c r="C46" s="4">
        <v>3.3969999999999998</v>
      </c>
      <c r="D46" s="4">
        <v>0.434</v>
      </c>
    </row>
    <row r="47" spans="1:4">
      <c r="A47" s="3" t="s">
        <v>23</v>
      </c>
      <c r="B47" s="4">
        <v>0.56799999999999995</v>
      </c>
      <c r="C47" s="4">
        <v>0.93</v>
      </c>
      <c r="D47" s="4">
        <v>3.0000000000000001E-3</v>
      </c>
    </row>
    <row r="48" spans="1:4">
      <c r="A48" s="3" t="s">
        <v>24</v>
      </c>
      <c r="B48" s="4">
        <v>1.1100000000000001</v>
      </c>
      <c r="C48" s="4">
        <v>5.774</v>
      </c>
      <c r="D48" s="4">
        <v>0.88900000000000001</v>
      </c>
    </row>
    <row r="49" spans="1:4">
      <c r="A49" s="3" t="s">
        <v>26</v>
      </c>
      <c r="B49" s="4">
        <v>0.39400000000000002</v>
      </c>
      <c r="C49" s="4">
        <v>2.08</v>
      </c>
      <c r="D49" s="4">
        <v>0.13</v>
      </c>
    </row>
    <row r="50" spans="1:4">
      <c r="A50" s="3" t="s">
        <v>27</v>
      </c>
      <c r="B50" s="4">
        <v>1.18</v>
      </c>
      <c r="C50" s="4">
        <v>1.226</v>
      </c>
      <c r="D50" s="4">
        <v>0.31</v>
      </c>
    </row>
    <row r="51" spans="1:4">
      <c r="A51" s="3" t="s">
        <v>29</v>
      </c>
      <c r="B51" s="4">
        <v>0.72788888888888881</v>
      </c>
      <c r="C51" s="4">
        <v>2.7538888888888886</v>
      </c>
      <c r="D51" s="4">
        <v>0.27055555555555555</v>
      </c>
    </row>
    <row r="58" spans="1:4">
      <c r="A58">
        <v>4</v>
      </c>
      <c r="B58" s="4" t="s">
        <v>44</v>
      </c>
    </row>
    <row r="59" spans="1:4">
      <c r="A59" s="2" t="s">
        <v>0</v>
      </c>
      <c r="B59" t="s">
        <v>38</v>
      </c>
      <c r="C59" t="s">
        <v>39</v>
      </c>
    </row>
    <row r="60" spans="1:4">
      <c r="A60" s="3" t="s">
        <v>18</v>
      </c>
      <c r="B60" s="10">
        <v>18.899999999999999</v>
      </c>
      <c r="C60" s="4">
        <v>78.8</v>
      </c>
    </row>
    <row r="61" spans="1:4">
      <c r="A61" s="3" t="s">
        <v>19</v>
      </c>
      <c r="B61" s="10">
        <v>21.1</v>
      </c>
      <c r="C61" s="4">
        <v>69.8</v>
      </c>
    </row>
    <row r="62" spans="1:4">
      <c r="A62" s="3" t="s">
        <v>20</v>
      </c>
      <c r="B62" s="10">
        <v>1737.2</v>
      </c>
      <c r="C62" s="4">
        <v>71.099999999999994</v>
      </c>
    </row>
    <row r="63" spans="1:4">
      <c r="A63" s="3" t="s">
        <v>28</v>
      </c>
      <c r="B63" s="10">
        <v>25.2</v>
      </c>
      <c r="C63" s="4">
        <v>68.900000000000006</v>
      </c>
    </row>
    <row r="64" spans="1:4">
      <c r="A64" s="3" t="s">
        <v>22</v>
      </c>
      <c r="B64" s="10">
        <v>367.2</v>
      </c>
      <c r="C64" s="4">
        <v>77.400000000000006</v>
      </c>
    </row>
    <row r="65" spans="1:3">
      <c r="A65" s="3" t="s">
        <v>23</v>
      </c>
      <c r="B65" s="10">
        <v>297.5</v>
      </c>
      <c r="C65" s="4">
        <v>69.900000000000006</v>
      </c>
    </row>
    <row r="66" spans="1:3">
      <c r="A66" s="3" t="s">
        <v>24</v>
      </c>
      <c r="B66" s="10">
        <v>299.3</v>
      </c>
      <c r="C66" s="4">
        <v>72.2</v>
      </c>
    </row>
    <row r="67" spans="1:3">
      <c r="A67" s="3" t="s">
        <v>26</v>
      </c>
      <c r="B67" s="10">
        <v>476.8</v>
      </c>
      <c r="C67" s="4">
        <v>77.8</v>
      </c>
    </row>
    <row r="68" spans="1:3">
      <c r="A68" s="3" t="s">
        <v>27</v>
      </c>
      <c r="B68" s="10">
        <v>914.5</v>
      </c>
      <c r="C68" s="4">
        <v>76</v>
      </c>
    </row>
    <row r="69" spans="1:3">
      <c r="A69" s="3" t="s">
        <v>29</v>
      </c>
      <c r="B69" s="10">
        <v>4157.7000000000007</v>
      </c>
      <c r="C69" s="4">
        <v>73.544444444444437</v>
      </c>
    </row>
    <row r="70" spans="1:3">
      <c r="B70"/>
      <c r="C70"/>
    </row>
    <row r="71" spans="1:3">
      <c r="B71"/>
      <c r="C71"/>
    </row>
    <row r="72" spans="1:3">
      <c r="B72"/>
      <c r="C72"/>
    </row>
    <row r="73" spans="1:3">
      <c r="B73"/>
      <c r="C73"/>
    </row>
    <row r="74" spans="1:3">
      <c r="B74"/>
      <c r="C74"/>
    </row>
    <row r="75" spans="1:3">
      <c r="B75"/>
      <c r="C75"/>
    </row>
    <row r="76" spans="1:3">
      <c r="A76" t="s">
        <v>45</v>
      </c>
      <c r="B76"/>
      <c r="C76"/>
    </row>
    <row r="78" spans="1:3">
      <c r="A78" t="s">
        <v>40</v>
      </c>
      <c r="B78"/>
      <c r="C78"/>
    </row>
    <row r="79" spans="1:3">
      <c r="A79" s="4">
        <v>68.977777777777789</v>
      </c>
      <c r="B79"/>
      <c r="C79"/>
    </row>
    <row r="80" spans="1:3">
      <c r="A80" t="s">
        <v>39</v>
      </c>
      <c r="B80"/>
      <c r="C80"/>
    </row>
    <row r="81" spans="1:8">
      <c r="A81" s="4">
        <v>73.544444444444437</v>
      </c>
      <c r="B81"/>
      <c r="C81"/>
    </row>
    <row r="82" spans="1:8">
      <c r="A82" t="s">
        <v>34</v>
      </c>
      <c r="B82"/>
      <c r="C82"/>
    </row>
    <row r="83" spans="1:8">
      <c r="A83" s="4">
        <v>364.66666666666669</v>
      </c>
      <c r="B83"/>
      <c r="C83"/>
    </row>
    <row r="84" spans="1:8">
      <c r="A84" t="s">
        <v>47</v>
      </c>
      <c r="B84"/>
      <c r="C84"/>
    </row>
    <row r="85" spans="1:8">
      <c r="A85" s="4">
        <v>114.55555555555556</v>
      </c>
      <c r="B85"/>
      <c r="C85"/>
    </row>
    <row r="86" spans="1:8" ht="15.5">
      <c r="A86" t="s">
        <v>48</v>
      </c>
      <c r="B86"/>
      <c r="C86"/>
      <c r="D86" s="5" t="s">
        <v>0</v>
      </c>
      <c r="E86" s="8" t="s">
        <v>54</v>
      </c>
      <c r="F86" s="8" t="s">
        <v>55</v>
      </c>
      <c r="G86" s="8" t="s">
        <v>56</v>
      </c>
      <c r="H86" s="8" t="s">
        <v>46</v>
      </c>
    </row>
    <row r="87" spans="1:8">
      <c r="A87" s="4">
        <v>93.555555555555557</v>
      </c>
      <c r="B87"/>
      <c r="C87"/>
      <c r="D87" s="6" t="s">
        <v>18</v>
      </c>
      <c r="E87" s="7">
        <v>29.1</v>
      </c>
      <c r="F87" s="7">
        <v>8.6999999999999993</v>
      </c>
      <c r="G87" s="7">
        <v>7.4</v>
      </c>
      <c r="H87" s="7">
        <v>27</v>
      </c>
    </row>
    <row r="88" spans="1:8">
      <c r="A88" t="s">
        <v>49</v>
      </c>
      <c r="B88"/>
      <c r="C88"/>
      <c r="D88" s="6" t="s">
        <v>19</v>
      </c>
      <c r="E88" s="7">
        <v>29</v>
      </c>
      <c r="F88" s="7">
        <v>40</v>
      </c>
      <c r="G88" s="7">
        <v>33</v>
      </c>
      <c r="H88" s="7">
        <v>170</v>
      </c>
    </row>
    <row r="89" spans="1:8">
      <c r="A89" s="4">
        <v>461.96666666666675</v>
      </c>
      <c r="B89"/>
      <c r="C89"/>
      <c r="D89" s="6" t="s">
        <v>20</v>
      </c>
      <c r="E89" s="7">
        <v>19.899999999999999</v>
      </c>
      <c r="F89" s="7">
        <v>40</v>
      </c>
      <c r="G89" s="7">
        <v>27.2</v>
      </c>
      <c r="H89" s="7">
        <v>190</v>
      </c>
    </row>
    <row r="90" spans="1:8">
      <c r="A90" t="s">
        <v>51</v>
      </c>
      <c r="B90"/>
      <c r="C90"/>
      <c r="D90" s="6" t="s">
        <v>28</v>
      </c>
      <c r="E90" s="7">
        <v>26.5</v>
      </c>
      <c r="F90" s="7">
        <v>64.3</v>
      </c>
      <c r="G90" s="7">
        <v>48.9</v>
      </c>
      <c r="H90" s="7">
        <v>220</v>
      </c>
    </row>
    <row r="91" spans="1:8">
      <c r="A91">
        <v>105.75000000000001</v>
      </c>
      <c r="B91"/>
      <c r="C91"/>
      <c r="D91" s="6" t="s">
        <v>22</v>
      </c>
      <c r="E91" s="7">
        <v>12.9</v>
      </c>
      <c r="F91" s="7">
        <v>9</v>
      </c>
      <c r="G91" s="7">
        <v>6.6</v>
      </c>
      <c r="H91" s="7">
        <v>29</v>
      </c>
    </row>
    <row r="92" spans="1:8">
      <c r="A92" t="s">
        <v>53</v>
      </c>
      <c r="B92"/>
      <c r="C92"/>
      <c r="D92" s="6" t="s">
        <v>23</v>
      </c>
      <c r="E92" s="7">
        <v>22.6</v>
      </c>
      <c r="F92" s="7">
        <v>29.6</v>
      </c>
      <c r="G92" s="7">
        <v>24.3</v>
      </c>
      <c r="H92" s="7">
        <v>200</v>
      </c>
    </row>
    <row r="93" spans="1:8">
      <c r="A93">
        <v>116.03</v>
      </c>
      <c r="B93"/>
      <c r="C93"/>
      <c r="D93" s="6" t="s">
        <v>24</v>
      </c>
      <c r="E93" s="7">
        <v>19.899999999999999</v>
      </c>
      <c r="F93" s="7">
        <v>25</v>
      </c>
      <c r="G93" s="7">
        <v>20</v>
      </c>
      <c r="H93" s="7">
        <v>120</v>
      </c>
    </row>
    <row r="94" spans="1:8">
      <c r="B94"/>
      <c r="C94"/>
      <c r="D94" s="6" t="s">
        <v>26</v>
      </c>
      <c r="E94" s="7">
        <v>9.1999999999999993</v>
      </c>
      <c r="F94" s="7">
        <v>9</v>
      </c>
      <c r="G94" s="7">
        <v>6.8</v>
      </c>
      <c r="H94" s="7">
        <v>26</v>
      </c>
    </row>
    <row r="95" spans="1:8">
      <c r="B95"/>
      <c r="C95"/>
      <c r="D95" s="6" t="s">
        <v>27</v>
      </c>
      <c r="E95" s="7">
        <v>12</v>
      </c>
      <c r="F95" s="7">
        <v>22.4</v>
      </c>
      <c r="G95" s="7">
        <v>14.9</v>
      </c>
      <c r="H95" s="7">
        <v>49</v>
      </c>
    </row>
    <row r="96" spans="1:8">
      <c r="B96"/>
      <c r="C96"/>
      <c r="D96" s="3" t="s">
        <v>29</v>
      </c>
      <c r="E96" s="4">
        <v>20.12222222222222</v>
      </c>
      <c r="F96" s="4">
        <v>27.555555555555557</v>
      </c>
      <c r="G96" s="4">
        <v>21.011111111111113</v>
      </c>
      <c r="H96" s="4">
        <v>114.55555555555556</v>
      </c>
    </row>
    <row r="97" spans="2:4">
      <c r="B97"/>
      <c r="C97"/>
      <c r="D97"/>
    </row>
    <row r="98" spans="2:4">
      <c r="B98"/>
      <c r="C98"/>
      <c r="D98"/>
    </row>
    <row r="99" spans="2:4">
      <c r="B99"/>
      <c r="C99"/>
      <c r="D99"/>
    </row>
    <row r="100" spans="2:4">
      <c r="B100"/>
      <c r="C100"/>
      <c r="D100"/>
    </row>
    <row r="101" spans="2:4">
      <c r="B101"/>
      <c r="C101"/>
      <c r="D101"/>
    </row>
    <row r="102" spans="2:4">
      <c r="B102"/>
      <c r="C102"/>
      <c r="D102"/>
    </row>
    <row r="103" spans="2:4">
      <c r="B103"/>
      <c r="C103"/>
      <c r="D103"/>
    </row>
    <row r="104" spans="2:4">
      <c r="B104"/>
      <c r="C104"/>
    </row>
    <row r="105" spans="2:4">
      <c r="B105"/>
      <c r="C105"/>
    </row>
    <row r="106" spans="2:4">
      <c r="B106"/>
      <c r="C106"/>
    </row>
    <row r="107" spans="2:4">
      <c r="B107"/>
      <c r="C107"/>
    </row>
    <row r="108" spans="2:4">
      <c r="B108"/>
      <c r="C108"/>
    </row>
    <row r="109" spans="2:4">
      <c r="B109"/>
      <c r="C109"/>
    </row>
  </sheetData>
  <conditionalFormatting sqref="D86:H95">
    <cfRule type="colorScale" priority="1">
      <colorScale>
        <cfvo type="min"/>
        <cfvo type="percentile" val="50"/>
        <cfvo type="max"/>
        <color rgb="FF92D050"/>
        <color rgb="FFFFFF00"/>
        <color rgb="FFFF000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FD9B1-E826-4C26-86F2-53945B1AD273}">
  <dimension ref="A1"/>
  <sheetViews>
    <sheetView showGridLines="0" topLeftCell="A52" zoomScale="57" zoomScaleNormal="57" workbookViewId="0">
      <selection activeCell="AI28" sqref="AI28"/>
    </sheetView>
  </sheetViews>
  <sheetFormatPr defaultRowHeight="1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7FBFC-AABB-407B-8D70-AC35966A6A87}">
  <dimension ref="A1"/>
  <sheetViews>
    <sheetView showGridLines="0" topLeftCell="A2" zoomScale="76" zoomScaleNormal="76" workbookViewId="0">
      <selection activeCell="S19" sqref="S19"/>
    </sheetView>
  </sheetViews>
  <sheetFormatPr defaultRowHeight="14.5"/>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DA997-B7AF-485D-A7CD-0FDE39230356}">
  <dimension ref="F8"/>
  <sheetViews>
    <sheetView showGridLines="0" topLeftCell="A27" zoomScale="75" zoomScaleNormal="75" workbookViewId="0">
      <selection activeCell="F8" sqref="F8"/>
    </sheetView>
  </sheetViews>
  <sheetFormatPr defaultRowHeight="14.5"/>
  <sheetData>
    <row r="8" spans="6:6">
      <c r="F8" s="9"/>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1153CE-FC12-418B-B364-3BE1A7E30E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 Cleaned</vt:lpstr>
      <vt:lpstr>Raw dataset</vt:lpstr>
      <vt:lpstr>PIVOT </vt:lpstr>
      <vt:lpstr>EXECUTIVE DASHBOARD</vt:lpstr>
      <vt:lpstr>RISK ASSESSMENT MATRIX</vt:lpstr>
      <vt:lpstr>RECOMMENDATION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TSIFOKOR, Mabel (SUSSEX PARTNERSHIP NHS FOUNDATION TRUST)</dc:creator>
  <cp:keywords/>
  <dc:description/>
  <cp:lastModifiedBy>TSIFOKOR, Mabel (SUSSEX PARTNERSHIP NHS FOUNDATION TRU</cp:lastModifiedBy>
  <cp:revision/>
  <dcterms:created xsi:type="dcterms:W3CDTF">2026-07-10T00:08:41Z</dcterms:created>
  <dcterms:modified xsi:type="dcterms:W3CDTF">2026-07-22T15:38:44Z</dcterms:modified>
  <cp:category/>
  <cp:contentStatus/>
</cp:coreProperties>
</file>